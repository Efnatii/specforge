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nat\Downloads\"/>
    </mc:Choice>
  </mc:AlternateContent>
  <xr:revisionPtr revIDLastSave="0" documentId="13_ncr:1_{7C9F9A78-3CF9-4561-8213-8375587B5656}" xr6:coauthVersionLast="47" xr6:coauthVersionMax="47" xr10:uidLastSave="{00000000-0000-0000-0000-000000000000}"/>
  <bookViews>
    <workbookView xWindow="-108" yWindow="-108" windowWidth="23256" windowHeight="12456" tabRatio="592" activeTab="2" xr2:uid="{A40B2360-0780-416D-B991-F8D90D91FF0B}"/>
  </bookViews>
  <sheets>
    <sheet name="Общее" sheetId="3" r:id="rId1"/>
    <sheet name="Расход. мат. ЭО К18 ГРЩ-18" sheetId="5" r:id="rId2"/>
    <sheet name="ЭО К18 ГРЩ-18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Q68" i="4"/>
  <c r="K66" i="4"/>
  <c r="Q62" i="4"/>
  <c r="K62" i="4"/>
  <c r="I65" i="4"/>
  <c r="I64" i="4"/>
  <c r="G65" i="4"/>
  <c r="G64" i="4"/>
  <c r="Q61" i="4"/>
  <c r="K61" i="4"/>
  <c r="Q61" i="5"/>
  <c r="K61" i="5"/>
  <c r="J65" i="4" l="1"/>
  <c r="K65" i="4" s="1"/>
  <c r="J64" i="4"/>
  <c r="K64" i="4" s="1"/>
  <c r="F57" i="4"/>
  <c r="A45" i="4" l="1"/>
  <c r="A46" i="4" s="1"/>
  <c r="A47" i="4" s="1"/>
  <c r="A48" i="4" s="1"/>
  <c r="A49" i="4" s="1"/>
  <c r="A27" i="4"/>
  <c r="A28" i="4" s="1"/>
  <c r="A29" i="4" s="1"/>
  <c r="A16" i="4"/>
  <c r="A17" i="4" s="1"/>
  <c r="A18" i="4" s="1"/>
  <c r="A19" i="4" s="1"/>
  <c r="K68" i="4" l="1"/>
  <c r="Q66" i="4"/>
  <c r="E2" i="3" l="1"/>
  <c r="I3" i="3" l="1"/>
  <c r="G2" i="3"/>
</calcChain>
</file>

<file path=xl/sharedStrings.xml><?xml version="1.0" encoding="utf-8"?>
<sst xmlns="http://schemas.openxmlformats.org/spreadsheetml/2006/main" count="334" uniqueCount="152">
  <si>
    <t>№ п\п</t>
  </si>
  <si>
    <t>Наименование товара (услуги)</t>
  </si>
  <si>
    <t>Производитель</t>
  </si>
  <si>
    <t>Артикул производителя</t>
  </si>
  <si>
    <t>Кол-во</t>
  </si>
  <si>
    <t>Ед. Изм.</t>
  </si>
  <si>
    <t>Цена, С НДС</t>
  </si>
  <si>
    <t>Сумма, с НДС</t>
  </si>
  <si>
    <t>к-т</t>
  </si>
  <si>
    <t>Расходный материал</t>
  </si>
  <si>
    <t>Итого основное оборудование и материалы</t>
  </si>
  <si>
    <t>Разработка схемы</t>
  </si>
  <si>
    <t>Работа по сборке</t>
  </si>
  <si>
    <t>Прибыль</t>
  </si>
  <si>
    <t>ИТОГО</t>
  </si>
  <si>
    <t>№ п/п</t>
  </si>
  <si>
    <t>Наименование, марка</t>
  </si>
  <si>
    <t>Ед. изм.</t>
  </si>
  <si>
    <t>Цена</t>
  </si>
  <si>
    <t>Ставка налога, %</t>
  </si>
  <si>
    <t>Стоимость без НДС</t>
  </si>
  <si>
    <t>Сумма НДС</t>
  </si>
  <si>
    <t>Стоимость
с НДС.</t>
  </si>
  <si>
    <t>ИТОГО:</t>
  </si>
  <si>
    <t>компл.</t>
  </si>
  <si>
    <t>Другие комплектные устройства:</t>
  </si>
  <si>
    <t xml:space="preserve">	Dekraft</t>
  </si>
  <si>
    <t>шт</t>
  </si>
  <si>
    <t>Dekraft</t>
  </si>
  <si>
    <t>IEK</t>
  </si>
  <si>
    <t>:</t>
  </si>
  <si>
    <t>Лампа ADDS 22мм красная LED 220В</t>
  </si>
  <si>
    <t>25003DEK</t>
  </si>
  <si>
    <t>Держатель предохранительного типа C10 ДП102-С10-1Р</t>
  </si>
  <si>
    <t>21383DEK</t>
  </si>
  <si>
    <t>Вставка плавкая цилиндрическая ПВЦ 10х38 6А</t>
  </si>
  <si>
    <t xml:space="preserve">EKF </t>
  </si>
  <si>
    <t>pvc-10x38-6</t>
  </si>
  <si>
    <t>Ошиновка Cu</t>
  </si>
  <si>
    <t>Невская алюминивая компания</t>
  </si>
  <si>
    <t>M1T</t>
  </si>
  <si>
    <t>м</t>
  </si>
  <si>
    <t>Автоматический ввод резерва на 2 ввода с секционированием АВР:</t>
  </si>
  <si>
    <t>Автоматический ввод резерва на 3 ввода АВР:</t>
  </si>
  <si>
    <t>Держатель предохр. C10 со светодиод. индикацией 3P ДП-102</t>
  </si>
  <si>
    <t>21385DEK</t>
  </si>
  <si>
    <t>ETM</t>
  </si>
  <si>
    <t>Модуль конденсаторный МК-3М МК-3М УХЛ4 Меандр</t>
  </si>
  <si>
    <t>Меандр</t>
  </si>
  <si>
    <t xml:space="preserve">	МК-3М УХЛ4</t>
  </si>
  <si>
    <t>Поставщик</t>
  </si>
  <si>
    <t>Хомов Электро НПО</t>
  </si>
  <si>
    <t>Главный распределительный щит с 2-я блоками АВР, IP31, 400/230 , 50Гц, 630А:</t>
  </si>
  <si>
    <t>27314DEK</t>
  </si>
  <si>
    <t>AR-MCCBD-MD-230-0-05-C</t>
  </si>
  <si>
    <t>AR-MCCBD-AU-000-0-05-C</t>
  </si>
  <si>
    <t>AR-MCCBD-AU-000-0-23-C</t>
  </si>
  <si>
    <t>AR-MCCB-3G-050-0250A-ELSC</t>
  </si>
  <si>
    <t>AR-MCCB-3D-050-0160A-ELPC</t>
  </si>
  <si>
    <t>AR-MCCBD-MD-230-0-98-C</t>
  </si>
  <si>
    <t>AR-MCCBD-AU-000-0-22-C</t>
  </si>
  <si>
    <t>AR-MCCBD-AU-000-0-02-C</t>
  </si>
  <si>
    <t>AR-MCCBD-PI-000-3-06-C</t>
  </si>
  <si>
    <t>AR-MCCBD-PI-000-3-02-C</t>
  </si>
  <si>
    <t>БЭТ/Завод энерготехника</t>
  </si>
  <si>
    <t>"ГАММА3D"/"ШНТ"</t>
  </si>
  <si>
    <t>AR-MCCB-3A-050-0125A-ELSC</t>
  </si>
  <si>
    <t>Автоматический ввод резерва на 2 ввода с секционированием АВР-701-2С</t>
  </si>
  <si>
    <t>27313DEK</t>
  </si>
  <si>
    <t>Конденсаторная установка для компенсации реактивной мощности УКРМ-0,4-150-30 У3 Компакт Раде Кончар compact-302-RK-KRM-0,4-150-30 U3</t>
  </si>
  <si>
    <t>compact-302-RK-KRM-0,4-150-30 U3</t>
  </si>
  <si>
    <t>Мультиметр цифровой 96х96мм трехфазный, вход 600В 5А, RS485, LED-дисплей МТ-96D</t>
  </si>
  <si>
    <t xml:space="preserve">	51420DEK</t>
  </si>
  <si>
    <t>AR-MCCB-3H-050-0400A-ELSC</t>
  </si>
  <si>
    <t>ARMAT Моторный привод 230В AC для MCCB типоразмер H; I IEK</t>
  </si>
  <si>
    <t>ARMAT Дополнительный контакт левый для MCCB типоразмер G; H; I 1NO1NC IEK</t>
  </si>
  <si>
    <t>ARMAT Аварийный контакт правый для MCCB типоразмер G; H; I IEK</t>
  </si>
  <si>
    <t>ARMAT Устройство втычного исполнения для MCCB 3P типоразмер H; I IEK (In 630A)</t>
  </si>
  <si>
    <t>Электрощитовое оборудование К18 (С-109/КС/1-18-ЭМ) ГРЩ-18</t>
  </si>
  <si>
    <t>Автоматический ввод резерва на 2 ввода АВР:</t>
  </si>
  <si>
    <t>27312DEK</t>
  </si>
  <si>
    <t>Автоматический ввод резерва на 3 ввода АВР-701-3</t>
  </si>
  <si>
    <t>Автоматический ввод резерва на 2 ввода без секционирования АВР-701-2</t>
  </si>
  <si>
    <t>ARMAT AR-A2S TD16 3P W HR/VR Выключатель автоматический воздушный 85кА, 1600А, выдвижной, с аксессуарами ~220-240В (реле отключения, реле включения, моторный привод)</t>
  </si>
  <si>
    <t>AR-ACB-3VB-085-1600A-TDCF</t>
  </si>
  <si>
    <t>ARMAT AR-A2S TD12 3P W HR/VR Выключатель автоматический воздушный 85кА, 1250А, выдвижной, с аксессуарами ~220-240В (реле отключения, реле включения, моторный привод)</t>
  </si>
  <si>
    <t>AR-ACB-3VB-085-1250A-TDCF</t>
  </si>
  <si>
    <t>AR-ACBD-AU-000-0-01-C</t>
  </si>
  <si>
    <t>AR-ACBD-AU-000-0-06-C</t>
  </si>
  <si>
    <t>AR-ACBD-AU-000-0-07-C</t>
  </si>
  <si>
    <t>AR-ACBD-AU-000-0-08-C</t>
  </si>
  <si>
    <t>ARMAT AR-A AUX 6Q Блок контактов 6 переключающих</t>
  </si>
  <si>
    <t>ARMAT AR-A AUX 6Q Блок контактов 6 переключающих на неподвижную часть выдвижного выключателя</t>
  </si>
  <si>
    <t>ARMAT AR-A RTC Контакт готовности к включению</t>
  </si>
  <si>
    <t>ARMAT AR-A AUP Контакт положения подвижной части выдвижного выключателя (электрический)</t>
  </si>
  <si>
    <t>Комплект панель распределительная (ВxШxГ) IP54</t>
  </si>
  <si>
    <t>Комплект В панель вводная (ВxШxГ)</t>
  </si>
  <si>
    <t>Комплект панель распределительная (ВxШxГ) IP54 (красная окраска)</t>
  </si>
  <si>
    <t>Комплект Панель АВР (ВxШxГ)  (красная окраска)</t>
  </si>
  <si>
    <t>коэфф.</t>
  </si>
  <si>
    <t>ARMAT Автоматический выключатель в литом корпусе 3P типоразмер D 50кА 160А расцепитель электронный продвинутый (ELPC)</t>
  </si>
  <si>
    <t>ARMAT Моторный привод 230В AC для MCCB типоразмер A; D</t>
  </si>
  <si>
    <t>ARMAT Дополнительный контакт левый для MCCB типоразмер A; D 1NO1NC</t>
  </si>
  <si>
    <t>ARMAT Аварийный контакт правый для MCCB типоразмер A; D</t>
  </si>
  <si>
    <t>ARMAT Устройство втычного исполнения для MCCB 3P типоразмер A; D (In 160A)</t>
  </si>
  <si>
    <t xml:space="preserve">Комплект Панель АВР (ВxШxГ) </t>
  </si>
  <si>
    <t>Вставка плавкая цилиндрическая ПВЦ 10х38 4А</t>
  </si>
  <si>
    <t>pvc-10x38-4</t>
  </si>
  <si>
    <t>ARMAT Автоматический выключатель в литом корпусе 3P типоразмер A 50кА 125А расцепитель электронный стандартный</t>
  </si>
  <si>
    <t>ARMAT Автоматический выключатель в литом корпусе 3P типоразмер A 50кА 63А расцепитель электронный стандартный</t>
  </si>
  <si>
    <t>ARMAT Автоматический выключатель в литом корпусе 3P типоразмер A 50кА 32А расцепитель электронный стандартный</t>
  </si>
  <si>
    <t>ARMAT Автоматический выключатель в литом корпусе 3P типоразмер D 85кА 160А расцепитель электронный стандартный</t>
  </si>
  <si>
    <t>ARMAT Автоматический выключатель в литом корпусе 3P типоразмер G 50кА 250А расцепитель электронный стандартный</t>
  </si>
  <si>
    <t>ARMAT Автоматический выключатель в литом корпусе 3P типоразмер H 50кА 400А расцепитель электронный стандартный</t>
  </si>
  <si>
    <t>ARMAT Автоматический выключатель в литом корпусе 3P типоразмер I 85кА 630А расцепитель электронный стандартный</t>
  </si>
  <si>
    <t>AR-MCCB-3A-050-0063A-ELSC</t>
  </si>
  <si>
    <t>AR-MCCB-3A-050-0032A-ELSC</t>
  </si>
  <si>
    <t>AR-MCCB-3D-085-0160A-ELSC</t>
  </si>
  <si>
    <t>AR-MCCB-3I-085-0630A-ELSC</t>
  </si>
  <si>
    <t>Без скидки:</t>
  </si>
  <si>
    <t>Со скидкой:</t>
  </si>
  <si>
    <t>Наценка, %</t>
  </si>
  <si>
    <t>Трансформатор тока ТТЕ-85-1200/5А класс точности 0,5S</t>
  </si>
  <si>
    <t>tte-85-1200-0.5S</t>
  </si>
  <si>
    <t>ARMAT MCCB 3P типоразмер I 85кА 630A электронный расцепитель стандартный (ELSC)</t>
  </si>
  <si>
    <t>AR-MCCB-3I-085-0630A-ELPC</t>
  </si>
  <si>
    <t>ARMAT Автоматический выключатель в литом корпусе 3P типоразмер I 85кА 630А расцепитель электронный продвинутый IEK</t>
  </si>
  <si>
    <t>compact-302-RK-KRM-0,4-150-30 U2</t>
  </si>
  <si>
    <t>раздел I</t>
  </si>
  <si>
    <t>раздел II</t>
  </si>
  <si>
    <t>раздел III</t>
  </si>
  <si>
    <t>раздел IV</t>
  </si>
  <si>
    <t>раздел V</t>
  </si>
  <si>
    <t>раздел VI</t>
  </si>
  <si>
    <t>Примечание</t>
  </si>
  <si>
    <t>Обознач. На схеме</t>
  </si>
  <si>
    <t>Цена, С НДС, со скидкой и без наценки</t>
  </si>
  <si>
    <t>Сумма, С НДС, Со скидкой и без наценки</t>
  </si>
  <si>
    <t>Скидка, %</t>
  </si>
  <si>
    <t>Цена, Без НДС</t>
  </si>
  <si>
    <t>Сумма, Без НДС</t>
  </si>
  <si>
    <t>Сумма, Без НДС, Со скидкой и без наценки</t>
  </si>
  <si>
    <t>Цена, Без НДС, со скидкой и без наценки</t>
  </si>
  <si>
    <t>0091-0821 Электрощитовое оборудование К18 (С-109/КС/1-18-ЭМ) ГРЩ-18 (0254) СП изм. 14.02.2026</t>
  </si>
  <si>
    <t>0091-0821 Расходный материал электрощитовое оборудование К18 (С-109/КС/1-18-ЭМ) ГРЩ-18 (0254) СП изм. 14.02.2026</t>
  </si>
  <si>
    <t>кол-во час.</t>
  </si>
  <si>
    <t>ставка</t>
  </si>
  <si>
    <t>налог</t>
  </si>
  <si>
    <t>итого</t>
  </si>
  <si>
    <t>итого с коэфф.</t>
  </si>
  <si>
    <t>Итого без скидки:</t>
  </si>
  <si>
    <t>Итого со скидки: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</si>
</sst>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р.&quot;"/>
    <numFmt numFmtId="165" formatCode="#,##0\ _р_."/>
    <numFmt numFmtId="166" formatCode="[$-419]General"/>
    <numFmt numFmtId="167" formatCode="#,##0.00\ &quot;₽&quot;"/>
  </numFmts>
  <fonts count="1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color rgb="FFFFFFFF"/>
      <name val="Times New Roman"/>
      <family val="1"/>
      <charset val="204"/>
    </font>
    <font>
      <sz val="8"/>
      <color rgb="FFFFFFFF"/>
      <name val="Calibri"/>
      <family val="2"/>
      <charset val="204"/>
      <scheme val="minor"/>
    </font>
    <font>
      <sz val="8"/>
      <color rgb="FF212731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8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Border="0" applyProtection="0"/>
    <xf numFmtId="0" fontId="3" fillId="0" borderId="0"/>
  </cellStyleXfs>
  <cellXfs count="130">
    <xf numFmtId="0" fontId="0" fillId="0" borderId="0" xfId="0"/>
    <xf numFmtId="0" fontId="0" fillId="0" borderId="0" xfId="0" applyBorder="1"/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/>
    </xf>
    <xf numFmtId="10" fontId="6" fillId="5" borderId="2" xfId="0" applyNumberFormat="1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horizontal="center"/>
    </xf>
    <xf numFmtId="2" fontId="6" fillId="6" borderId="2" xfId="0" applyNumberFormat="1" applyFont="1" applyFill="1" applyBorder="1" applyAlignment="1">
      <alignment horizontal="center"/>
    </xf>
    <xf numFmtId="10" fontId="6" fillId="6" borderId="2" xfId="0" applyNumberFormat="1" applyFont="1" applyFill="1" applyBorder="1" applyAlignment="1">
      <alignment horizontal="center"/>
    </xf>
    <xf numFmtId="4" fontId="6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4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wrapText="1"/>
    </xf>
    <xf numFmtId="0" fontId="8" fillId="7" borderId="2" xfId="0" applyFont="1" applyFill="1" applyBorder="1" applyAlignment="1">
      <alignment horizontal="center"/>
    </xf>
    <xf numFmtId="2" fontId="8" fillId="7" borderId="2" xfId="0" applyNumberFormat="1" applyFont="1" applyFill="1" applyBorder="1" applyAlignment="1">
      <alignment horizontal="center"/>
    </xf>
    <xf numFmtId="4" fontId="8" fillId="7" borderId="2" xfId="0" applyNumberFormat="1" applyFont="1" applyFill="1" applyBorder="1" applyAlignment="1">
      <alignment horizontal="center"/>
    </xf>
    <xf numFmtId="10" fontId="8" fillId="7" borderId="2" xfId="0" applyNumberFormat="1" applyFont="1" applyFill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2" fontId="6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wrapText="1"/>
    </xf>
    <xf numFmtId="10" fontId="6" fillId="8" borderId="2" xfId="0" applyNumberFormat="1" applyFont="1" applyFill="1" applyBorder="1" applyAlignment="1">
      <alignment horizontal="center"/>
    </xf>
    <xf numFmtId="2" fontId="6" fillId="8" borderId="2" xfId="0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2" fontId="6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center" vertical="center"/>
    </xf>
    <xf numFmtId="2" fontId="6" fillId="6" borderId="4" xfId="0" applyNumberFormat="1" applyFont="1" applyFill="1" applyBorder="1" applyAlignment="1">
      <alignment horizontal="center"/>
    </xf>
    <xf numFmtId="2" fontId="6" fillId="6" borderId="3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4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4" fontId="8" fillId="6" borderId="2" xfId="0" applyNumberFormat="1" applyFont="1" applyFill="1" applyBorder="1" applyAlignment="1">
      <alignment horizontal="center"/>
    </xf>
    <xf numFmtId="10" fontId="8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0" fontId="6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/>
    <xf numFmtId="0" fontId="6" fillId="0" borderId="3" xfId="0" applyFont="1" applyBorder="1" applyAlignment="1">
      <alignment horizontal="center"/>
    </xf>
    <xf numFmtId="0" fontId="4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6" fillId="6" borderId="4" xfId="0" applyFont="1" applyFill="1" applyBorder="1"/>
    <xf numFmtId="0" fontId="6" fillId="6" borderId="2" xfId="0" applyFont="1" applyFill="1" applyBorder="1" applyAlignment="1">
      <alignment horizontal="left" wrapText="1"/>
    </xf>
    <xf numFmtId="2" fontId="12" fillId="9" borderId="2" xfId="0" applyNumberFormat="1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164" fontId="12" fillId="6" borderId="3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1" fillId="6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 wrapText="1"/>
    </xf>
    <xf numFmtId="0" fontId="6" fillId="6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left" wrapText="1"/>
    </xf>
    <xf numFmtId="2" fontId="6" fillId="6" borderId="0" xfId="0" applyNumberFormat="1" applyFont="1" applyFill="1" applyBorder="1" applyAlignment="1">
      <alignment horizontal="center"/>
    </xf>
    <xf numFmtId="2" fontId="12" fillId="6" borderId="0" xfId="0" applyNumberFormat="1" applyFont="1" applyFill="1" applyBorder="1" applyAlignment="1">
      <alignment horizontal="center"/>
    </xf>
    <xf numFmtId="2" fontId="12" fillId="9" borderId="3" xfId="0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4" fontId="12" fillId="6" borderId="0" xfId="0" applyNumberFormat="1" applyFont="1" applyFill="1" applyBorder="1" applyAlignment="1">
      <alignment horizontal="center"/>
    </xf>
    <xf numFmtId="0" fontId="6" fillId="6" borderId="0" xfId="0" applyFont="1" applyFill="1" applyBorder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2" fontId="12" fillId="6" borderId="3" xfId="0" applyNumberFormat="1" applyFont="1" applyFill="1" applyBorder="1" applyAlignment="1">
      <alignment horizontal="center"/>
    </xf>
    <xf numFmtId="2" fontId="6" fillId="6" borderId="4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0" fontId="6" fillId="6" borderId="4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wrapText="1"/>
    </xf>
    <xf numFmtId="2" fontId="6" fillId="6" borderId="0" xfId="0" applyNumberFormat="1" applyFont="1" applyFill="1" applyBorder="1" applyAlignment="1">
      <alignment horizontal="center" vertical="center"/>
    </xf>
    <xf numFmtId="0" fontId="7" fillId="6" borderId="0" xfId="0" applyFont="1" applyFill="1" applyBorder="1"/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center"/>
    </xf>
    <xf numFmtId="2" fontId="6" fillId="6" borderId="6" xfId="0" applyNumberFormat="1" applyFont="1" applyFill="1" applyBorder="1" applyAlignment="1">
      <alignment horizontal="center" vertical="center"/>
    </xf>
    <xf numFmtId="0" fontId="7" fillId="6" borderId="6" xfId="0" applyFont="1" applyFill="1" applyBorder="1"/>
    <xf numFmtId="0" fontId="7" fillId="6" borderId="4" xfId="0" applyFont="1" applyFill="1" applyBorder="1"/>
    <xf numFmtId="0" fontId="14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2" borderId="1" xfId="1" applyNumberFormat="1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6" fillId="0" borderId="1" xfId="0" applyFont="1" applyBorder="1"/>
    <xf numFmtId="0" fontId="11" fillId="0" borderId="1" xfId="0" applyFont="1" applyBorder="1" applyAlignment="1">
      <alignment vertical="center"/>
    </xf>
    <xf numFmtId="167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</cellXfs>
  <cellStyles count="3">
    <cellStyle name="Excel Built-in Normal" xfId="1" xr:uid="{7ABE73BB-35A6-4287-8978-E8CD9F0CDE77}"/>
    <cellStyle name="Normal" xfId="2" xr:uid="{D921E0F4-9915-4103-88C4-E1C86160E1BE}"/>
    <cellStyle name="Обычный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7E88-F150-4429-A00B-4645FB22F79E}">
  <dimension ref="A1:I3"/>
  <sheetViews>
    <sheetView workbookViewId="0">
      <selection activeCell="N17" sqref="N17"/>
    </sheetView>
  </sheetViews>
  <sheetFormatPr defaultColWidth="10" defaultRowHeight="14.4" x14ac:dyDescent="0.3"/>
  <cols>
    <col min="1" max="1" width="4.109375" customWidth="1"/>
    <col min="2" max="2" width="28.109375" customWidth="1"/>
    <col min="3" max="3" width="3" customWidth="1"/>
    <col min="4" max="4" width="3.33203125" customWidth="1"/>
    <col min="5" max="5" width="10.77734375" customWidth="1"/>
    <col min="6" max="6" width="5.88671875" customWidth="1"/>
    <col min="7" max="7" width="12.44140625" customWidth="1"/>
    <col min="8" max="8" width="11.6640625" customWidth="1"/>
    <col min="9" max="9" width="12.6640625" customWidth="1"/>
  </cols>
  <sheetData>
    <row r="1" spans="1:9" ht="20.399999999999999" customHeight="1" x14ac:dyDescent="0.3">
      <c r="A1" s="117" t="s">
        <v>15</v>
      </c>
      <c r="B1" s="117" t="s">
        <v>16</v>
      </c>
      <c r="C1" s="117" t="s">
        <v>17</v>
      </c>
      <c r="D1" s="117" t="s">
        <v>4</v>
      </c>
      <c r="E1" s="118" t="s">
        <v>18</v>
      </c>
      <c r="F1" s="117" t="s">
        <v>19</v>
      </c>
      <c r="G1" s="117" t="s">
        <v>20</v>
      </c>
      <c r="H1" s="117" t="s">
        <v>21</v>
      </c>
      <c r="I1" s="117" t="s">
        <v>22</v>
      </c>
    </row>
    <row r="2" spans="1:9" ht="20.399999999999999" x14ac:dyDescent="0.3">
      <c r="A2" s="117">
        <v>1</v>
      </c>
      <c r="B2" s="119" t="s">
        <v>78</v>
      </c>
      <c r="C2" s="120" t="s">
        <v>8</v>
      </c>
      <c r="D2" s="121">
        <v>1</v>
      </c>
      <c r="E2" s="122">
        <f>'ЭО К18 ГРЩ-18'!K68</f>
        <v>486000</v>
      </c>
      <c r="F2" s="123">
        <v>0.22</v>
      </c>
      <c r="G2" s="122">
        <f>I2-H2</f>
        <v>379080</v>
      </c>
      <c r="H2" s="124">
        <f>I2*F2</f>
        <v>106920</v>
      </c>
      <c r="I2" s="122">
        <f>E2</f>
        <v>486000</v>
      </c>
    </row>
    <row r="3" spans="1:9" x14ac:dyDescent="0.3">
      <c r="A3" s="125"/>
      <c r="B3" s="126"/>
      <c r="C3" s="120"/>
      <c r="D3" s="120"/>
      <c r="E3" s="127"/>
      <c r="F3" s="128" t="s">
        <v>23</v>
      </c>
      <c r="G3" s="129"/>
      <c r="H3" s="129"/>
      <c r="I3" s="129">
        <f>I2</f>
        <v>486000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42FA-130F-418F-8E4B-9DE2CB09E104}">
  <dimension ref="A1:U61"/>
  <sheetViews>
    <sheetView topLeftCell="A20" zoomScale="55" zoomScaleNormal="55" workbookViewId="0">
      <selection activeCell="T62" sqref="T62"/>
    </sheetView>
  </sheetViews>
  <sheetFormatPr defaultColWidth="10" defaultRowHeight="14.4" x14ac:dyDescent="0.3"/>
  <cols>
    <col min="1" max="2" width="9.109375" customWidth="1"/>
    <col min="3" max="3" width="91.109375" customWidth="1"/>
    <col min="4" max="4" width="31.88671875" customWidth="1"/>
    <col min="5" max="5" width="36" customWidth="1"/>
    <col min="11" max="17" width="14.5546875" customWidth="1"/>
    <col min="18" max="19" width="31.88671875" customWidth="1"/>
  </cols>
  <sheetData>
    <row r="1" spans="1:19" ht="18" x14ac:dyDescent="0.3">
      <c r="A1" s="59" t="s">
        <v>144</v>
      </c>
      <c r="B1" s="59"/>
      <c r="C1" s="59"/>
      <c r="D1" s="59"/>
      <c r="E1" s="59"/>
      <c r="F1" s="59"/>
      <c r="G1" s="59"/>
    </row>
    <row r="2" spans="1:19" ht="30.6" x14ac:dyDescent="0.3">
      <c r="A2" s="2" t="s">
        <v>0</v>
      </c>
      <c r="B2" s="2" t="s">
        <v>135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139</v>
      </c>
      <c r="I2" s="2" t="s">
        <v>6</v>
      </c>
      <c r="J2" s="2" t="s">
        <v>140</v>
      </c>
      <c r="K2" s="2" t="s">
        <v>7</v>
      </c>
      <c r="L2" s="2" t="s">
        <v>121</v>
      </c>
      <c r="M2" s="2" t="s">
        <v>138</v>
      </c>
      <c r="N2" s="2" t="s">
        <v>142</v>
      </c>
      <c r="O2" s="2" t="s">
        <v>136</v>
      </c>
      <c r="P2" s="2" t="s">
        <v>141</v>
      </c>
      <c r="Q2" s="2" t="s">
        <v>137</v>
      </c>
      <c r="R2" s="3" t="s">
        <v>50</v>
      </c>
      <c r="S2" s="3" t="s">
        <v>134</v>
      </c>
    </row>
    <row r="3" spans="1:19" ht="15.75" customHeight="1" x14ac:dyDescent="0.3">
      <c r="A3" s="35"/>
      <c r="B3" s="35"/>
      <c r="C3" s="60"/>
      <c r="D3" s="10"/>
      <c r="E3" s="10"/>
      <c r="F3" s="10"/>
      <c r="G3" s="10"/>
      <c r="H3" s="10"/>
      <c r="I3" s="11"/>
      <c r="J3" s="11"/>
      <c r="K3" s="11"/>
      <c r="L3" s="12"/>
      <c r="M3" s="12"/>
      <c r="N3" s="12"/>
      <c r="O3" s="11"/>
      <c r="P3" s="11"/>
      <c r="Q3" s="11"/>
      <c r="R3" s="30"/>
      <c r="S3" s="30"/>
    </row>
    <row r="4" spans="1:19" x14ac:dyDescent="0.3">
      <c r="A4" s="8"/>
      <c r="B4" s="8"/>
      <c r="C4" s="9"/>
      <c r="D4" s="10"/>
      <c r="E4" s="10"/>
      <c r="F4" s="10"/>
      <c r="G4" s="10"/>
      <c r="H4" s="10"/>
      <c r="I4" s="11"/>
      <c r="J4" s="11"/>
      <c r="K4" s="11"/>
      <c r="L4" s="12"/>
      <c r="M4" s="12"/>
      <c r="N4" s="12"/>
      <c r="O4" s="11"/>
      <c r="P4" s="11"/>
      <c r="Q4" s="11"/>
      <c r="R4" s="10"/>
      <c r="S4" s="10"/>
    </row>
    <row r="5" spans="1:19" x14ac:dyDescent="0.3">
      <c r="A5" s="8"/>
      <c r="B5" s="8"/>
      <c r="C5" s="9"/>
      <c r="D5" s="10"/>
      <c r="E5" s="10"/>
      <c r="F5" s="10"/>
      <c r="G5" s="10"/>
      <c r="H5" s="10"/>
      <c r="I5" s="11"/>
      <c r="J5" s="11"/>
      <c r="K5" s="11"/>
      <c r="L5" s="12"/>
      <c r="M5" s="12"/>
      <c r="N5" s="12"/>
      <c r="O5" s="11"/>
      <c r="P5" s="11"/>
      <c r="Q5" s="11"/>
      <c r="R5" s="10"/>
      <c r="S5" s="10"/>
    </row>
    <row r="6" spans="1:19" x14ac:dyDescent="0.3">
      <c r="A6" s="8"/>
      <c r="B6" s="8"/>
      <c r="C6" s="9"/>
      <c r="D6" s="10"/>
      <c r="E6" s="10"/>
      <c r="F6" s="10"/>
      <c r="G6" s="10"/>
      <c r="H6" s="10"/>
      <c r="I6" s="11"/>
      <c r="J6" s="11"/>
      <c r="K6" s="11"/>
      <c r="L6" s="12"/>
      <c r="M6" s="12"/>
      <c r="N6" s="12"/>
      <c r="O6" s="11"/>
      <c r="P6" s="11"/>
      <c r="Q6" s="11"/>
      <c r="R6" s="10"/>
      <c r="S6" s="10"/>
    </row>
    <row r="7" spans="1:19" x14ac:dyDescent="0.3">
      <c r="A7" s="8"/>
      <c r="B7" s="8"/>
      <c r="C7" s="9"/>
      <c r="D7" s="10"/>
      <c r="E7" s="10"/>
      <c r="F7" s="10"/>
      <c r="G7" s="10"/>
      <c r="H7" s="10"/>
      <c r="I7" s="11"/>
      <c r="J7" s="11"/>
      <c r="K7" s="11"/>
      <c r="L7" s="12"/>
      <c r="M7" s="12"/>
      <c r="N7" s="12"/>
      <c r="O7" s="11"/>
      <c r="P7" s="11"/>
      <c r="Q7" s="11"/>
      <c r="R7" s="10"/>
      <c r="S7" s="10"/>
    </row>
    <row r="8" spans="1:19" x14ac:dyDescent="0.3">
      <c r="A8" s="8"/>
      <c r="B8" s="8"/>
      <c r="C8" s="9"/>
      <c r="D8" s="10"/>
      <c r="E8" s="10"/>
      <c r="F8" s="10"/>
      <c r="G8" s="10"/>
      <c r="H8" s="10"/>
      <c r="I8" s="11"/>
      <c r="J8" s="11"/>
      <c r="K8" s="11"/>
      <c r="L8" s="12"/>
      <c r="M8" s="12"/>
      <c r="N8" s="12"/>
      <c r="O8" s="11"/>
      <c r="P8" s="11"/>
      <c r="Q8" s="11"/>
      <c r="R8" s="10"/>
      <c r="S8" s="10"/>
    </row>
    <row r="9" spans="1:19" x14ac:dyDescent="0.3">
      <c r="A9" s="8"/>
      <c r="B9" s="8"/>
      <c r="C9" s="9"/>
      <c r="D9" s="10"/>
      <c r="E9" s="10"/>
      <c r="F9" s="10"/>
      <c r="G9" s="10"/>
      <c r="H9" s="10"/>
      <c r="I9" s="11"/>
      <c r="J9" s="11"/>
      <c r="K9" s="11"/>
      <c r="L9" s="12"/>
      <c r="M9" s="12"/>
      <c r="N9" s="12"/>
      <c r="O9" s="11"/>
      <c r="P9" s="11"/>
      <c r="Q9" s="11"/>
      <c r="R9" s="10"/>
      <c r="S9" s="10"/>
    </row>
    <row r="10" spans="1:19" x14ac:dyDescent="0.3">
      <c r="A10" s="35"/>
      <c r="B10" s="35"/>
      <c r="C10" s="60"/>
      <c r="D10" s="10"/>
      <c r="E10" s="10"/>
      <c r="F10" s="10"/>
      <c r="G10" s="10"/>
      <c r="H10" s="10"/>
      <c r="I10" s="11"/>
      <c r="J10" s="11"/>
      <c r="K10" s="11"/>
      <c r="L10" s="12"/>
      <c r="M10" s="12"/>
      <c r="N10" s="12"/>
      <c r="O10" s="11"/>
      <c r="P10" s="11"/>
      <c r="Q10" s="11"/>
      <c r="R10" s="30"/>
      <c r="S10" s="30"/>
    </row>
    <row r="11" spans="1:19" x14ac:dyDescent="0.3">
      <c r="A11" s="8"/>
      <c r="B11" s="8"/>
      <c r="C11" s="9"/>
      <c r="D11" s="10"/>
      <c r="E11" s="8"/>
      <c r="F11" s="10"/>
      <c r="G11" s="10"/>
      <c r="H11" s="10"/>
      <c r="I11" s="11"/>
      <c r="J11" s="11"/>
      <c r="K11" s="13"/>
      <c r="L11" s="12"/>
      <c r="M11" s="12"/>
      <c r="N11" s="12"/>
      <c r="O11" s="13"/>
      <c r="P11" s="13"/>
      <c r="Q11" s="13"/>
      <c r="R11" s="14"/>
      <c r="S11" s="14"/>
    </row>
    <row r="12" spans="1:19" x14ac:dyDescent="0.3">
      <c r="A12" s="8"/>
      <c r="B12" s="8"/>
      <c r="C12" s="15"/>
      <c r="D12" s="10"/>
      <c r="E12" s="8"/>
      <c r="F12" s="10"/>
      <c r="G12" s="10"/>
      <c r="H12" s="10"/>
      <c r="I12" s="11"/>
      <c r="J12" s="11"/>
      <c r="K12" s="13"/>
      <c r="L12" s="12"/>
      <c r="M12" s="12"/>
      <c r="N12" s="12"/>
      <c r="O12" s="13"/>
      <c r="P12" s="13"/>
      <c r="Q12" s="13"/>
      <c r="R12" s="14"/>
      <c r="S12" s="14"/>
    </row>
    <row r="13" spans="1:19" x14ac:dyDescent="0.3">
      <c r="A13" s="35"/>
      <c r="B13" s="35"/>
      <c r="C13" s="60"/>
      <c r="D13" s="38"/>
      <c r="E13" s="38"/>
      <c r="F13" s="10"/>
      <c r="G13" s="10"/>
      <c r="H13" s="10"/>
      <c r="I13" s="11"/>
      <c r="J13" s="11"/>
      <c r="K13" s="11"/>
      <c r="L13" s="12"/>
      <c r="M13" s="12"/>
      <c r="N13" s="12"/>
      <c r="O13" s="11"/>
      <c r="P13" s="11"/>
      <c r="Q13" s="11"/>
      <c r="R13" s="30"/>
      <c r="S13" s="30"/>
    </row>
    <row r="14" spans="1:19" x14ac:dyDescent="0.3">
      <c r="A14" s="8"/>
      <c r="B14" s="8"/>
      <c r="C14" s="9"/>
      <c r="D14" s="10"/>
      <c r="E14" s="10"/>
      <c r="F14" s="10"/>
      <c r="G14" s="10"/>
      <c r="H14" s="10"/>
      <c r="I14" s="11"/>
      <c r="J14" s="11"/>
      <c r="K14" s="13"/>
      <c r="L14" s="12"/>
      <c r="M14" s="12"/>
      <c r="N14" s="12"/>
      <c r="O14" s="13"/>
      <c r="P14" s="13"/>
      <c r="Q14" s="13"/>
      <c r="R14" s="14"/>
      <c r="S14" s="14"/>
    </row>
    <row r="15" spans="1:19" x14ac:dyDescent="0.3">
      <c r="A15" s="8"/>
      <c r="B15" s="8"/>
      <c r="C15" s="9"/>
      <c r="D15" s="10"/>
      <c r="E15" s="10"/>
      <c r="F15" s="10"/>
      <c r="G15" s="10"/>
      <c r="H15" s="10"/>
      <c r="I15" s="11"/>
      <c r="J15" s="11"/>
      <c r="K15" s="13"/>
      <c r="L15" s="12"/>
      <c r="M15" s="12"/>
      <c r="N15" s="12"/>
      <c r="O15" s="13"/>
      <c r="P15" s="13"/>
      <c r="Q15" s="13"/>
      <c r="R15" s="14"/>
      <c r="S15" s="14"/>
    </row>
    <row r="16" spans="1:19" hidden="1" x14ac:dyDescent="0.3">
      <c r="A16" s="61"/>
      <c r="B16" s="61"/>
      <c r="C16" s="62"/>
      <c r="D16" s="63"/>
      <c r="E16" s="63"/>
      <c r="F16" s="63"/>
      <c r="G16" s="63"/>
      <c r="H16" s="63"/>
      <c r="I16" s="64"/>
      <c r="J16" s="64"/>
      <c r="K16" s="65"/>
      <c r="L16" s="66"/>
      <c r="M16" s="66"/>
      <c r="N16" s="66"/>
      <c r="O16" s="65"/>
      <c r="P16" s="65"/>
      <c r="Q16" s="65"/>
      <c r="R16" s="67"/>
      <c r="S16" s="67"/>
    </row>
    <row r="17" spans="1:19" hidden="1" x14ac:dyDescent="0.3">
      <c r="A17" s="61"/>
      <c r="B17" s="61"/>
      <c r="C17" s="62"/>
      <c r="D17" s="63"/>
      <c r="E17" s="63"/>
      <c r="F17" s="63"/>
      <c r="G17" s="63"/>
      <c r="H17" s="63"/>
      <c r="I17" s="64"/>
      <c r="J17" s="64"/>
      <c r="K17" s="65"/>
      <c r="L17" s="66"/>
      <c r="M17" s="66"/>
      <c r="N17" s="66"/>
      <c r="O17" s="65"/>
      <c r="P17" s="65"/>
      <c r="Q17" s="65"/>
      <c r="R17" s="67"/>
      <c r="S17" s="67"/>
    </row>
    <row r="18" spans="1:19" hidden="1" x14ac:dyDescent="0.3">
      <c r="A18" s="61"/>
      <c r="B18" s="61"/>
      <c r="C18" s="62"/>
      <c r="D18" s="63"/>
      <c r="E18" s="63"/>
      <c r="F18" s="63"/>
      <c r="G18" s="63"/>
      <c r="H18" s="63"/>
      <c r="I18" s="64"/>
      <c r="J18" s="64"/>
      <c r="K18" s="65"/>
      <c r="L18" s="66"/>
      <c r="M18" s="66"/>
      <c r="N18" s="66"/>
      <c r="O18" s="65"/>
      <c r="P18" s="65"/>
      <c r="Q18" s="65"/>
      <c r="R18" s="67"/>
      <c r="S18" s="67"/>
    </row>
    <row r="19" spans="1:19" hidden="1" x14ac:dyDescent="0.3">
      <c r="A19" s="61"/>
      <c r="B19" s="61"/>
      <c r="C19" s="62"/>
      <c r="D19" s="63"/>
      <c r="E19" s="63"/>
      <c r="F19" s="63"/>
      <c r="G19" s="63"/>
      <c r="H19" s="63"/>
      <c r="I19" s="64"/>
      <c r="J19" s="64"/>
      <c r="K19" s="65"/>
      <c r="L19" s="66"/>
      <c r="M19" s="66"/>
      <c r="N19" s="66"/>
      <c r="O19" s="65"/>
      <c r="P19" s="65"/>
      <c r="Q19" s="65"/>
      <c r="R19" s="67"/>
      <c r="S19" s="67"/>
    </row>
    <row r="20" spans="1:19" x14ac:dyDescent="0.3">
      <c r="A20" s="8"/>
      <c r="B20" s="8"/>
      <c r="C20" s="9"/>
      <c r="D20" s="10"/>
      <c r="E20" s="10"/>
      <c r="F20" s="10"/>
      <c r="G20" s="10"/>
      <c r="H20" s="10"/>
      <c r="I20" s="11"/>
      <c r="J20" s="11"/>
      <c r="K20" s="11"/>
      <c r="L20" s="12"/>
      <c r="M20" s="12"/>
      <c r="N20" s="12"/>
      <c r="O20" s="11"/>
      <c r="P20" s="11"/>
      <c r="Q20" s="11"/>
      <c r="R20" s="14"/>
      <c r="S20" s="14"/>
    </row>
    <row r="21" spans="1:19" x14ac:dyDescent="0.3">
      <c r="A21" s="8"/>
      <c r="B21" s="8"/>
      <c r="C21" s="9"/>
      <c r="D21" s="10"/>
      <c r="E21" s="10"/>
      <c r="F21" s="10"/>
      <c r="G21" s="10"/>
      <c r="H21" s="10"/>
      <c r="I21" s="11"/>
      <c r="J21" s="11"/>
      <c r="K21" s="11"/>
      <c r="L21" s="12"/>
      <c r="M21" s="12"/>
      <c r="N21" s="12"/>
      <c r="O21" s="11"/>
      <c r="P21" s="11"/>
      <c r="Q21" s="11"/>
      <c r="R21" s="14"/>
      <c r="S21" s="14"/>
    </row>
    <row r="22" spans="1:19" x14ac:dyDescent="0.3">
      <c r="A22" s="8"/>
      <c r="B22" s="8"/>
      <c r="C22" s="9"/>
      <c r="D22" s="10"/>
      <c r="E22" s="10"/>
      <c r="F22" s="10"/>
      <c r="G22" s="10"/>
      <c r="H22" s="10"/>
      <c r="I22" s="11"/>
      <c r="J22" s="11"/>
      <c r="K22" s="13"/>
      <c r="L22" s="12"/>
      <c r="M22" s="12"/>
      <c r="N22" s="12"/>
      <c r="O22" s="13"/>
      <c r="P22" s="13"/>
      <c r="Q22" s="13"/>
      <c r="R22" s="14"/>
      <c r="S22" s="14"/>
    </row>
    <row r="23" spans="1:19" x14ac:dyDescent="0.3">
      <c r="A23" s="35"/>
      <c r="B23" s="35"/>
      <c r="C23" s="60"/>
      <c r="D23" s="38"/>
      <c r="E23" s="38"/>
      <c r="F23" s="10"/>
      <c r="G23" s="10"/>
      <c r="H23" s="10"/>
      <c r="I23" s="11"/>
      <c r="J23" s="11"/>
      <c r="K23" s="11"/>
      <c r="L23" s="12"/>
      <c r="M23" s="12"/>
      <c r="N23" s="12"/>
      <c r="O23" s="11"/>
      <c r="P23" s="11"/>
      <c r="Q23" s="11"/>
      <c r="R23" s="30"/>
      <c r="S23" s="30"/>
    </row>
    <row r="24" spans="1:19" x14ac:dyDescent="0.3">
      <c r="A24" s="8"/>
      <c r="B24" s="8"/>
      <c r="C24" s="9"/>
      <c r="D24" s="10"/>
      <c r="E24" s="10"/>
      <c r="F24" s="10"/>
      <c r="G24" s="10"/>
      <c r="H24" s="10"/>
      <c r="I24" s="11"/>
      <c r="J24" s="11"/>
      <c r="K24" s="13"/>
      <c r="L24" s="12"/>
      <c r="M24" s="12"/>
      <c r="N24" s="12"/>
      <c r="O24" s="13"/>
      <c r="P24" s="13"/>
      <c r="Q24" s="13"/>
      <c r="R24" s="14"/>
      <c r="S24" s="14"/>
    </row>
    <row r="25" spans="1:19" x14ac:dyDescent="0.3">
      <c r="A25" s="8"/>
      <c r="B25" s="8"/>
      <c r="C25" s="9"/>
      <c r="D25" s="10"/>
      <c r="E25" s="10"/>
      <c r="F25" s="10"/>
      <c r="G25" s="10"/>
      <c r="H25" s="10"/>
      <c r="I25" s="11"/>
      <c r="J25" s="11"/>
      <c r="K25" s="13"/>
      <c r="L25" s="12"/>
      <c r="M25" s="12"/>
      <c r="N25" s="12"/>
      <c r="O25" s="13"/>
      <c r="P25" s="13"/>
      <c r="Q25" s="13"/>
      <c r="R25" s="14"/>
      <c r="S25" s="14"/>
    </row>
    <row r="26" spans="1:19" x14ac:dyDescent="0.3">
      <c r="A26" s="8"/>
      <c r="B26" s="8"/>
      <c r="C26" s="9"/>
      <c r="D26" s="10"/>
      <c r="E26" s="10"/>
      <c r="F26" s="10"/>
      <c r="G26" s="10"/>
      <c r="H26" s="10"/>
      <c r="I26" s="11"/>
      <c r="J26" s="11"/>
      <c r="K26" s="13"/>
      <c r="L26" s="12"/>
      <c r="M26" s="12"/>
      <c r="N26" s="12"/>
      <c r="O26" s="13"/>
      <c r="P26" s="13"/>
      <c r="Q26" s="13"/>
      <c r="R26" s="14"/>
      <c r="S26" s="14"/>
    </row>
    <row r="27" spans="1:19" x14ac:dyDescent="0.3">
      <c r="A27" s="8"/>
      <c r="B27" s="8"/>
      <c r="C27" s="9"/>
      <c r="D27" s="10"/>
      <c r="E27" s="10"/>
      <c r="F27" s="10"/>
      <c r="G27" s="10"/>
      <c r="H27" s="10"/>
      <c r="I27" s="11"/>
      <c r="J27" s="11"/>
      <c r="K27" s="13"/>
      <c r="L27" s="12"/>
      <c r="M27" s="12"/>
      <c r="N27" s="12"/>
      <c r="O27" s="13"/>
      <c r="P27" s="13"/>
      <c r="Q27" s="13"/>
      <c r="R27" s="14"/>
      <c r="S27" s="14"/>
    </row>
    <row r="28" spans="1:19" x14ac:dyDescent="0.3">
      <c r="A28" s="8"/>
      <c r="B28" s="8"/>
      <c r="C28" s="9"/>
      <c r="D28" s="10"/>
      <c r="E28" s="10"/>
      <c r="F28" s="10"/>
      <c r="G28" s="10"/>
      <c r="H28" s="10"/>
      <c r="I28" s="11"/>
      <c r="J28" s="11"/>
      <c r="K28" s="13"/>
      <c r="L28" s="12"/>
      <c r="M28" s="12"/>
      <c r="N28" s="12"/>
      <c r="O28" s="13"/>
      <c r="P28" s="13"/>
      <c r="Q28" s="13"/>
      <c r="R28" s="14"/>
      <c r="S28" s="14"/>
    </row>
    <row r="29" spans="1:19" x14ac:dyDescent="0.3">
      <c r="A29" s="8"/>
      <c r="B29" s="8"/>
      <c r="C29" s="9"/>
      <c r="D29" s="10"/>
      <c r="E29" s="10"/>
      <c r="F29" s="10"/>
      <c r="G29" s="10"/>
      <c r="H29" s="10"/>
      <c r="I29" s="11"/>
      <c r="J29" s="11"/>
      <c r="K29" s="13"/>
      <c r="L29" s="12"/>
      <c r="M29" s="12"/>
      <c r="N29" s="12"/>
      <c r="O29" s="13"/>
      <c r="P29" s="13"/>
      <c r="Q29" s="13"/>
      <c r="R29" s="14"/>
      <c r="S29" s="14"/>
    </row>
    <row r="30" spans="1:19" x14ac:dyDescent="0.3">
      <c r="A30" s="8"/>
      <c r="B30" s="8"/>
      <c r="C30" s="9"/>
      <c r="D30" s="10"/>
      <c r="E30" s="10"/>
      <c r="F30" s="10"/>
      <c r="G30" s="10"/>
      <c r="H30" s="10"/>
      <c r="I30" s="11"/>
      <c r="J30" s="11"/>
      <c r="K30" s="11"/>
      <c r="L30" s="12"/>
      <c r="M30" s="12"/>
      <c r="N30" s="12"/>
      <c r="O30" s="11"/>
      <c r="P30" s="11"/>
      <c r="Q30" s="11"/>
      <c r="R30" s="14"/>
      <c r="S30" s="14"/>
    </row>
    <row r="31" spans="1:19" x14ac:dyDescent="0.3">
      <c r="A31" s="8"/>
      <c r="B31" s="8"/>
      <c r="C31" s="9"/>
      <c r="D31" s="10"/>
      <c r="E31" s="10"/>
      <c r="F31" s="10"/>
      <c r="G31" s="10"/>
      <c r="H31" s="10"/>
      <c r="I31" s="11"/>
      <c r="J31" s="11"/>
      <c r="K31" s="11"/>
      <c r="L31" s="12"/>
      <c r="M31" s="12"/>
      <c r="N31" s="12"/>
      <c r="O31" s="11"/>
      <c r="P31" s="11"/>
      <c r="Q31" s="11"/>
      <c r="R31" s="14"/>
      <c r="S31" s="14"/>
    </row>
    <row r="32" spans="1:19" x14ac:dyDescent="0.3">
      <c r="A32" s="8"/>
      <c r="B32" s="8"/>
      <c r="C32" s="9"/>
      <c r="D32" s="10"/>
      <c r="E32" s="10"/>
      <c r="F32" s="10"/>
      <c r="G32" s="10"/>
      <c r="H32" s="10"/>
      <c r="I32" s="11"/>
      <c r="J32" s="11"/>
      <c r="K32" s="13"/>
      <c r="L32" s="12"/>
      <c r="M32" s="12"/>
      <c r="N32" s="12"/>
      <c r="O32" s="13"/>
      <c r="P32" s="13"/>
      <c r="Q32" s="13"/>
      <c r="R32" s="14"/>
      <c r="S32" s="14"/>
    </row>
    <row r="33" spans="1:19" x14ac:dyDescent="0.3">
      <c r="A33" s="35"/>
      <c r="B33" s="35"/>
      <c r="C33" s="60"/>
      <c r="D33" s="38"/>
      <c r="E33" s="38"/>
      <c r="F33" s="10"/>
      <c r="G33" s="10"/>
      <c r="H33" s="10"/>
      <c r="I33" s="11"/>
      <c r="J33" s="11"/>
      <c r="K33" s="11"/>
      <c r="L33" s="12"/>
      <c r="M33" s="12"/>
      <c r="N33" s="12"/>
      <c r="O33" s="11"/>
      <c r="P33" s="11"/>
      <c r="Q33" s="11"/>
      <c r="R33" s="30"/>
      <c r="S33" s="30"/>
    </row>
    <row r="34" spans="1:19" x14ac:dyDescent="0.3">
      <c r="A34" s="8"/>
      <c r="B34" s="8"/>
      <c r="C34" s="9"/>
      <c r="D34" s="10"/>
      <c r="E34" s="10"/>
      <c r="F34" s="10"/>
      <c r="G34" s="10"/>
      <c r="H34" s="10"/>
      <c r="I34" s="11"/>
      <c r="J34" s="11"/>
      <c r="K34" s="11"/>
      <c r="L34" s="12"/>
      <c r="M34" s="12"/>
      <c r="N34" s="12"/>
      <c r="O34" s="11"/>
      <c r="P34" s="11"/>
      <c r="Q34" s="11"/>
      <c r="R34" s="30"/>
      <c r="S34" s="30"/>
    </row>
    <row r="35" spans="1:19" x14ac:dyDescent="0.3">
      <c r="A35" s="8"/>
      <c r="B35" s="8"/>
      <c r="C35" s="9"/>
      <c r="D35" s="10"/>
      <c r="E35" s="10"/>
      <c r="F35" s="10"/>
      <c r="G35" s="10"/>
      <c r="H35" s="10"/>
      <c r="I35" s="11"/>
      <c r="J35" s="11"/>
      <c r="K35" s="11"/>
      <c r="L35" s="12"/>
      <c r="M35" s="12"/>
      <c r="N35" s="12"/>
      <c r="O35" s="11"/>
      <c r="P35" s="11"/>
      <c r="Q35" s="11"/>
      <c r="R35" s="30"/>
      <c r="S35" s="30"/>
    </row>
    <row r="36" spans="1:19" x14ac:dyDescent="0.3">
      <c r="A36" s="8"/>
      <c r="B36" s="8"/>
      <c r="C36" s="9"/>
      <c r="D36" s="10"/>
      <c r="E36" s="10"/>
      <c r="F36" s="10"/>
      <c r="G36" s="10"/>
      <c r="H36" s="10"/>
      <c r="I36" s="11"/>
      <c r="J36" s="11"/>
      <c r="K36" s="11"/>
      <c r="L36" s="12"/>
      <c r="M36" s="12"/>
      <c r="N36" s="12"/>
      <c r="O36" s="11"/>
      <c r="P36" s="11"/>
      <c r="Q36" s="11"/>
      <c r="R36" s="30"/>
      <c r="S36" s="30"/>
    </row>
    <row r="37" spans="1:19" x14ac:dyDescent="0.3">
      <c r="A37" s="8"/>
      <c r="B37" s="8"/>
      <c r="C37" s="9"/>
      <c r="D37" s="10"/>
      <c r="E37" s="10"/>
      <c r="F37" s="10"/>
      <c r="G37" s="10"/>
      <c r="H37" s="10"/>
      <c r="I37" s="11"/>
      <c r="J37" s="11"/>
      <c r="K37" s="11"/>
      <c r="L37" s="12"/>
      <c r="M37" s="12"/>
      <c r="N37" s="12"/>
      <c r="O37" s="11"/>
      <c r="P37" s="11"/>
      <c r="Q37" s="11"/>
      <c r="R37" s="30"/>
      <c r="S37" s="30"/>
    </row>
    <row r="38" spans="1:19" x14ac:dyDescent="0.3">
      <c r="A38" s="8"/>
      <c r="B38" s="8"/>
      <c r="C38" s="9"/>
      <c r="D38" s="10"/>
      <c r="E38" s="10"/>
      <c r="F38" s="10"/>
      <c r="G38" s="10"/>
      <c r="H38" s="10"/>
      <c r="I38" s="11"/>
      <c r="J38" s="11"/>
      <c r="K38" s="11"/>
      <c r="L38" s="12"/>
      <c r="M38" s="12"/>
      <c r="N38" s="12"/>
      <c r="O38" s="11"/>
      <c r="P38" s="11"/>
      <c r="Q38" s="11"/>
      <c r="R38" s="30"/>
      <c r="S38" s="30"/>
    </row>
    <row r="39" spans="1:19" x14ac:dyDescent="0.3">
      <c r="A39" s="8"/>
      <c r="B39" s="8"/>
      <c r="C39" s="9"/>
      <c r="D39" s="10"/>
      <c r="E39" s="10"/>
      <c r="F39" s="10"/>
      <c r="G39" s="10"/>
      <c r="H39" s="10"/>
      <c r="I39" s="11"/>
      <c r="J39" s="11"/>
      <c r="K39" s="11"/>
      <c r="L39" s="12"/>
      <c r="M39" s="12"/>
      <c r="N39" s="12"/>
      <c r="O39" s="11"/>
      <c r="P39" s="11"/>
      <c r="Q39" s="11"/>
      <c r="R39" s="14"/>
      <c r="S39" s="14"/>
    </row>
    <row r="40" spans="1:19" x14ac:dyDescent="0.3">
      <c r="A40" s="8"/>
      <c r="B40" s="8"/>
      <c r="C40" s="9"/>
      <c r="D40" s="10"/>
      <c r="E40" s="10"/>
      <c r="F40" s="10"/>
      <c r="G40" s="10"/>
      <c r="H40" s="10"/>
      <c r="I40" s="11"/>
      <c r="J40" s="11"/>
      <c r="K40" s="11"/>
      <c r="L40" s="12"/>
      <c r="M40" s="12"/>
      <c r="N40" s="12"/>
      <c r="O40" s="11"/>
      <c r="P40" s="11"/>
      <c r="Q40" s="11"/>
      <c r="R40" s="14"/>
      <c r="S40" s="14"/>
    </row>
    <row r="41" spans="1:19" x14ac:dyDescent="0.3">
      <c r="A41" s="8"/>
      <c r="B41" s="8"/>
      <c r="C41" s="9"/>
      <c r="D41" s="10"/>
      <c r="E41" s="10"/>
      <c r="F41" s="10"/>
      <c r="G41" s="10"/>
      <c r="H41" s="10"/>
      <c r="I41" s="11"/>
      <c r="J41" s="11"/>
      <c r="K41" s="11"/>
      <c r="L41" s="12"/>
      <c r="M41" s="12"/>
      <c r="N41" s="12"/>
      <c r="O41" s="11"/>
      <c r="P41" s="11"/>
      <c r="Q41" s="11"/>
      <c r="R41" s="14"/>
      <c r="S41" s="14"/>
    </row>
    <row r="42" spans="1:19" x14ac:dyDescent="0.3">
      <c r="A42" s="35"/>
      <c r="B42" s="35"/>
      <c r="C42" s="60"/>
      <c r="D42" s="10"/>
      <c r="E42" s="10"/>
      <c r="F42" s="10"/>
      <c r="G42" s="10"/>
      <c r="H42" s="10"/>
      <c r="I42" s="11"/>
      <c r="J42" s="11"/>
      <c r="K42" s="11"/>
      <c r="L42" s="12"/>
      <c r="M42" s="12"/>
      <c r="N42" s="12"/>
      <c r="O42" s="11"/>
      <c r="P42" s="11"/>
      <c r="Q42" s="11"/>
      <c r="R42" s="30"/>
      <c r="S42" s="30"/>
    </row>
    <row r="43" spans="1:19" x14ac:dyDescent="0.3">
      <c r="A43" s="8"/>
      <c r="B43" s="8"/>
      <c r="C43" s="9"/>
      <c r="D43" s="10"/>
      <c r="E43" s="10"/>
      <c r="F43" s="10"/>
      <c r="G43" s="10"/>
      <c r="H43" s="10"/>
      <c r="I43" s="11"/>
      <c r="J43" s="11"/>
      <c r="K43" s="11"/>
      <c r="L43" s="12"/>
      <c r="M43" s="12"/>
      <c r="N43" s="12"/>
      <c r="O43" s="11"/>
      <c r="P43" s="11"/>
      <c r="Q43" s="11"/>
      <c r="R43" s="14"/>
      <c r="S43" s="14"/>
    </row>
    <row r="44" spans="1:19" x14ac:dyDescent="0.3">
      <c r="A44" s="8"/>
      <c r="B44" s="8"/>
      <c r="C44" s="9"/>
      <c r="D44" s="10"/>
      <c r="E44" s="10"/>
      <c r="F44" s="10"/>
      <c r="G44" s="10"/>
      <c r="H44" s="10"/>
      <c r="I44" s="11"/>
      <c r="J44" s="11"/>
      <c r="K44" s="11"/>
      <c r="L44" s="12"/>
      <c r="M44" s="12"/>
      <c r="N44" s="12"/>
      <c r="O44" s="11"/>
      <c r="P44" s="11"/>
      <c r="Q44" s="11"/>
      <c r="R44" s="14"/>
      <c r="S44" s="14"/>
    </row>
    <row r="45" spans="1:19" x14ac:dyDescent="0.3">
      <c r="A45" s="8"/>
      <c r="B45" s="8"/>
      <c r="C45" s="9"/>
      <c r="D45" s="10"/>
      <c r="E45" s="10"/>
      <c r="F45" s="10"/>
      <c r="G45" s="10"/>
      <c r="H45" s="10"/>
      <c r="I45" s="11"/>
      <c r="J45" s="11"/>
      <c r="K45" s="11"/>
      <c r="L45" s="12"/>
      <c r="M45" s="12"/>
      <c r="N45" s="12"/>
      <c r="O45" s="11"/>
      <c r="P45" s="11"/>
      <c r="Q45" s="11"/>
      <c r="R45" s="14"/>
      <c r="S45" s="14"/>
    </row>
    <row r="46" spans="1:19" x14ac:dyDescent="0.3">
      <c r="A46" s="8"/>
      <c r="B46" s="8"/>
      <c r="C46" s="9"/>
      <c r="D46" s="10"/>
      <c r="E46" s="10"/>
      <c r="F46" s="10"/>
      <c r="G46" s="10"/>
      <c r="H46" s="10"/>
      <c r="I46" s="11"/>
      <c r="J46" s="11"/>
      <c r="K46" s="11"/>
      <c r="L46" s="12"/>
      <c r="M46" s="12"/>
      <c r="N46" s="12"/>
      <c r="O46" s="11"/>
      <c r="P46" s="11"/>
      <c r="Q46" s="11"/>
      <c r="R46" s="14"/>
      <c r="S46" s="14"/>
    </row>
    <row r="47" spans="1:19" x14ac:dyDescent="0.3">
      <c r="A47" s="8"/>
      <c r="B47" s="8"/>
      <c r="C47" s="9"/>
      <c r="D47" s="10"/>
      <c r="E47" s="10"/>
      <c r="F47" s="10"/>
      <c r="G47" s="10"/>
      <c r="H47" s="10"/>
      <c r="I47" s="11"/>
      <c r="J47" s="11"/>
      <c r="K47" s="11"/>
      <c r="L47" s="12"/>
      <c r="M47" s="12"/>
      <c r="N47" s="12"/>
      <c r="O47" s="11"/>
      <c r="P47" s="11"/>
      <c r="Q47" s="11"/>
      <c r="R47" s="14"/>
      <c r="S47" s="14"/>
    </row>
    <row r="48" spans="1:19" x14ac:dyDescent="0.3">
      <c r="A48" s="8"/>
      <c r="B48" s="8"/>
      <c r="C48" s="9"/>
      <c r="D48" s="10"/>
      <c r="E48" s="10"/>
      <c r="F48" s="10"/>
      <c r="G48" s="10"/>
      <c r="H48" s="10"/>
      <c r="I48" s="11"/>
      <c r="J48" s="11"/>
      <c r="K48" s="11"/>
      <c r="L48" s="12"/>
      <c r="M48" s="12"/>
      <c r="N48" s="12"/>
      <c r="O48" s="11"/>
      <c r="P48" s="11"/>
      <c r="Q48" s="11"/>
      <c r="R48" s="14"/>
      <c r="S48" s="14"/>
    </row>
    <row r="49" spans="1:21" x14ac:dyDescent="0.3">
      <c r="A49" s="8"/>
      <c r="B49" s="8"/>
      <c r="C49" s="9"/>
      <c r="D49" s="10"/>
      <c r="E49" s="10"/>
      <c r="F49" s="10"/>
      <c r="G49" s="10"/>
      <c r="H49" s="10"/>
      <c r="I49" s="11"/>
      <c r="J49" s="11"/>
      <c r="K49" s="11"/>
      <c r="L49" s="12"/>
      <c r="M49" s="12"/>
      <c r="N49" s="12"/>
      <c r="O49" s="11"/>
      <c r="P49" s="11"/>
      <c r="Q49" s="11"/>
      <c r="R49" s="14"/>
      <c r="S49" s="14"/>
    </row>
    <row r="50" spans="1:21" x14ac:dyDescent="0.3">
      <c r="A50" s="8"/>
      <c r="B50" s="8"/>
      <c r="C50" s="9"/>
      <c r="D50" s="10"/>
      <c r="E50" s="10"/>
      <c r="F50" s="10"/>
      <c r="G50" s="10"/>
      <c r="H50" s="10"/>
      <c r="I50" s="11"/>
      <c r="J50" s="11"/>
      <c r="K50" s="13"/>
      <c r="L50" s="12"/>
      <c r="M50" s="12"/>
      <c r="N50" s="12"/>
      <c r="O50" s="13"/>
      <c r="P50" s="13"/>
      <c r="Q50" s="13"/>
      <c r="R50" s="14"/>
      <c r="S50" s="14"/>
    </row>
    <row r="51" spans="1:21" x14ac:dyDescent="0.3">
      <c r="A51" s="8"/>
      <c r="B51" s="8"/>
      <c r="C51" s="9"/>
      <c r="D51" s="10"/>
      <c r="E51" s="31"/>
      <c r="F51" s="10"/>
      <c r="G51" s="10"/>
      <c r="H51" s="10"/>
      <c r="I51" s="11"/>
      <c r="J51" s="11"/>
      <c r="K51" s="13"/>
      <c r="L51" s="12"/>
      <c r="M51" s="12"/>
      <c r="N51" s="12"/>
      <c r="O51" s="13"/>
      <c r="P51" s="13"/>
      <c r="Q51" s="13"/>
      <c r="R51" s="14"/>
      <c r="S51" s="14"/>
    </row>
    <row r="52" spans="1:21" x14ac:dyDescent="0.3">
      <c r="A52" s="8"/>
      <c r="B52" s="8"/>
      <c r="C52" s="9"/>
      <c r="D52" s="10"/>
      <c r="E52" s="10"/>
      <c r="F52" s="10"/>
      <c r="G52" s="10"/>
      <c r="H52" s="10"/>
      <c r="I52" s="11"/>
      <c r="J52" s="11"/>
      <c r="K52" s="13"/>
      <c r="L52" s="12"/>
      <c r="M52" s="12"/>
      <c r="N52" s="12"/>
      <c r="O52" s="13"/>
      <c r="P52" s="13"/>
      <c r="Q52" s="13"/>
      <c r="R52" s="14"/>
      <c r="S52" s="14"/>
    </row>
    <row r="53" spans="1:21" x14ac:dyDescent="0.3">
      <c r="A53" s="8"/>
      <c r="B53" s="8"/>
      <c r="C53" s="9"/>
      <c r="D53" s="10"/>
      <c r="E53" s="10"/>
      <c r="F53" s="10"/>
      <c r="G53" s="10"/>
      <c r="H53" s="10"/>
      <c r="I53" s="11"/>
      <c r="J53" s="11"/>
      <c r="K53" s="13"/>
      <c r="L53" s="12"/>
      <c r="M53" s="12"/>
      <c r="N53" s="12"/>
      <c r="O53" s="13"/>
      <c r="P53" s="13"/>
      <c r="Q53" s="13"/>
      <c r="R53" s="14"/>
      <c r="S53" s="14"/>
    </row>
    <row r="54" spans="1:21" x14ac:dyDescent="0.3">
      <c r="A54" s="8"/>
      <c r="B54" s="8"/>
      <c r="C54" s="9"/>
      <c r="D54" s="10"/>
      <c r="E54" s="10"/>
      <c r="F54" s="10"/>
      <c r="G54" s="10"/>
      <c r="H54" s="10"/>
      <c r="I54" s="11"/>
      <c r="J54" s="11"/>
      <c r="K54" s="13"/>
      <c r="L54" s="12"/>
      <c r="M54" s="12"/>
      <c r="N54" s="12"/>
      <c r="O54" s="13"/>
      <c r="P54" s="13"/>
      <c r="Q54" s="13"/>
      <c r="R54" s="14"/>
      <c r="S54" s="14"/>
    </row>
    <row r="55" spans="1:21" x14ac:dyDescent="0.3">
      <c r="A55" s="8"/>
      <c r="B55" s="8"/>
      <c r="C55" s="9"/>
      <c r="D55" s="10"/>
      <c r="E55" s="10"/>
      <c r="F55" s="10"/>
      <c r="G55" s="10"/>
      <c r="H55" s="10"/>
      <c r="I55" s="11"/>
      <c r="J55" s="11"/>
      <c r="K55" s="13"/>
      <c r="L55" s="12"/>
      <c r="M55" s="12"/>
      <c r="N55" s="12"/>
      <c r="O55" s="13"/>
      <c r="P55" s="13"/>
      <c r="Q55" s="13"/>
      <c r="R55" s="14"/>
      <c r="S55" s="14"/>
    </row>
    <row r="56" spans="1:21" x14ac:dyDescent="0.3">
      <c r="A56" s="8"/>
      <c r="B56" s="8"/>
      <c r="C56" s="9"/>
      <c r="D56" s="10"/>
      <c r="E56" s="10"/>
      <c r="F56" s="10"/>
      <c r="G56" s="10"/>
      <c r="H56" s="10"/>
      <c r="I56" s="11"/>
      <c r="J56" s="11"/>
      <c r="K56" s="13"/>
      <c r="L56" s="12"/>
      <c r="M56" s="12"/>
      <c r="N56" s="12"/>
      <c r="O56" s="13"/>
      <c r="P56" s="13"/>
      <c r="Q56" s="13"/>
      <c r="R56" s="14"/>
      <c r="S56" s="14"/>
    </row>
    <row r="57" spans="1:21" x14ac:dyDescent="0.3">
      <c r="A57" s="8"/>
      <c r="B57" s="8"/>
      <c r="C57" s="9"/>
      <c r="D57" s="10"/>
      <c r="E57" s="10"/>
      <c r="F57" s="10"/>
      <c r="G57" s="10"/>
      <c r="H57" s="10"/>
      <c r="I57" s="30"/>
      <c r="J57" s="30"/>
      <c r="K57" s="30"/>
      <c r="L57" s="68"/>
      <c r="M57" s="68"/>
      <c r="N57" s="68"/>
      <c r="O57" s="30"/>
      <c r="P57" s="30"/>
      <c r="Q57" s="30"/>
      <c r="R57" s="14"/>
      <c r="S57" s="14"/>
    </row>
    <row r="58" spans="1:21" x14ac:dyDescent="0.3">
      <c r="A58" s="8"/>
      <c r="B58" s="8"/>
      <c r="C58" s="9"/>
      <c r="D58" s="10"/>
      <c r="E58" s="10"/>
      <c r="F58" s="10"/>
      <c r="G58" s="10"/>
      <c r="H58" s="10"/>
      <c r="I58" s="30"/>
      <c r="J58" s="30"/>
      <c r="K58" s="30"/>
      <c r="L58" s="30"/>
      <c r="M58" s="30"/>
      <c r="N58" s="30"/>
      <c r="O58" s="30"/>
      <c r="P58" s="30"/>
      <c r="Q58" s="30"/>
      <c r="R58" s="69"/>
      <c r="S58" s="69"/>
    </row>
    <row r="59" spans="1:21" x14ac:dyDescent="0.3">
      <c r="A59" s="106"/>
      <c r="B59" s="106"/>
      <c r="C59" s="107"/>
      <c r="D59" s="88"/>
      <c r="E59" s="88"/>
      <c r="F59" s="88"/>
      <c r="G59" s="88"/>
      <c r="H59" s="88"/>
      <c r="I59" s="108"/>
      <c r="J59" s="108"/>
      <c r="K59" s="108"/>
      <c r="L59" s="108"/>
      <c r="M59" s="108"/>
      <c r="N59" s="108"/>
      <c r="O59" s="108"/>
      <c r="P59" s="108"/>
      <c r="Q59" s="108"/>
      <c r="R59" s="109"/>
      <c r="S59" s="109"/>
    </row>
    <row r="60" spans="1:21" x14ac:dyDescent="0.3">
      <c r="A60" s="110"/>
      <c r="B60" s="111"/>
      <c r="C60" s="112"/>
      <c r="D60" s="113"/>
      <c r="E60" s="113"/>
      <c r="F60" s="113"/>
      <c r="G60" s="113"/>
      <c r="H60" s="113"/>
      <c r="I60" s="114"/>
      <c r="J60" s="114"/>
      <c r="K60" s="76" t="s">
        <v>150</v>
      </c>
      <c r="L60" s="114"/>
      <c r="M60" s="114"/>
      <c r="N60" s="114"/>
      <c r="O60" s="114"/>
      <c r="P60" s="114"/>
      <c r="Q60" s="76" t="s">
        <v>120</v>
      </c>
      <c r="R60" s="115"/>
      <c r="S60" s="116"/>
      <c r="T60" s="1"/>
      <c r="U60" s="1"/>
    </row>
    <row r="61" spans="1:21" x14ac:dyDescent="0.3">
      <c r="A61" s="10"/>
      <c r="B61" s="10"/>
      <c r="C61" s="71" t="s">
        <v>14</v>
      </c>
      <c r="D61" s="72"/>
      <c r="E61" s="72"/>
      <c r="F61" s="10"/>
      <c r="G61" s="10"/>
      <c r="H61" s="10"/>
      <c r="I61" s="34"/>
      <c r="J61" s="34"/>
      <c r="K61" s="39">
        <f>CEILING((SUM(K1:K57)),1)</f>
        <v>0</v>
      </c>
      <c r="L61" s="12"/>
      <c r="M61" s="12"/>
      <c r="N61" s="12"/>
      <c r="O61" s="69"/>
      <c r="P61" s="39"/>
      <c r="Q61" s="39">
        <f>CEILING((SUM(Q1:Q57)),1)</f>
        <v>0</v>
      </c>
      <c r="R61" s="69"/>
      <c r="S61" s="69"/>
      <c r="T61" s="1"/>
      <c r="U61" s="1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CEB2-D6B5-41D8-8E7F-10AC933098A6}">
  <dimension ref="A1:S68"/>
  <sheetViews>
    <sheetView tabSelected="1" topLeftCell="A23" zoomScale="55" zoomScaleNormal="55" workbookViewId="0">
      <selection activeCell="N65" sqref="N65"/>
    </sheetView>
  </sheetViews>
  <sheetFormatPr defaultColWidth="10" defaultRowHeight="14.4" x14ac:dyDescent="0.3"/>
  <cols>
    <col min="1" max="2" width="9.109375" customWidth="1"/>
    <col min="3" max="3" width="62.33203125" customWidth="1"/>
    <col min="4" max="4" width="18.88671875" customWidth="1"/>
    <col min="5" max="5" width="15.5546875" customWidth="1"/>
    <col min="6" max="6" width="5.109375" customWidth="1"/>
    <col min="7" max="7" width="8.33203125" customWidth="1"/>
    <col min="11" max="17" width="14.5546875" customWidth="1"/>
    <col min="18" max="19" width="31.88671875" customWidth="1"/>
  </cols>
  <sheetData>
    <row r="1" spans="1:19" ht="33.6" customHeight="1" x14ac:dyDescent="0.3">
      <c r="A1" s="56" t="s">
        <v>143</v>
      </c>
      <c r="B1" s="56"/>
      <c r="C1" s="56"/>
      <c r="D1" s="56"/>
      <c r="E1" s="56"/>
      <c r="F1" s="56"/>
      <c r="G1" s="5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.6" x14ac:dyDescent="0.3">
      <c r="A2" s="2" t="s">
        <v>0</v>
      </c>
      <c r="B2" s="2" t="s">
        <v>135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139</v>
      </c>
      <c r="I2" s="2" t="s">
        <v>6</v>
      </c>
      <c r="J2" s="2" t="s">
        <v>140</v>
      </c>
      <c r="K2" s="2" t="s">
        <v>7</v>
      </c>
      <c r="L2" s="2" t="s">
        <v>121</v>
      </c>
      <c r="M2" s="2" t="s">
        <v>138</v>
      </c>
      <c r="N2" s="2" t="s">
        <v>142</v>
      </c>
      <c r="O2" s="2" t="s">
        <v>136</v>
      </c>
      <c r="P2" s="2" t="s">
        <v>141</v>
      </c>
      <c r="Q2" s="2" t="s">
        <v>137</v>
      </c>
      <c r="R2" s="35" t="s">
        <v>50</v>
      </c>
      <c r="S2" s="35" t="s">
        <v>134</v>
      </c>
    </row>
    <row r="3" spans="1:19" ht="15.75" customHeight="1" x14ac:dyDescent="0.3">
      <c r="A3" s="40" t="s">
        <v>128</v>
      </c>
      <c r="B3" s="40"/>
      <c r="C3" s="41" t="s">
        <v>52</v>
      </c>
      <c r="D3" s="48"/>
      <c r="E3" s="48"/>
      <c r="F3" s="48">
        <v>1</v>
      </c>
      <c r="G3" s="48" t="s">
        <v>24</v>
      </c>
      <c r="H3" s="37"/>
      <c r="I3" s="36"/>
      <c r="J3" s="36"/>
      <c r="K3" s="36"/>
      <c r="L3" s="42"/>
      <c r="M3" s="42"/>
      <c r="N3" s="42"/>
      <c r="O3" s="36"/>
      <c r="P3" s="36"/>
      <c r="Q3" s="36"/>
      <c r="R3" s="43"/>
      <c r="S3" s="43"/>
    </row>
    <row r="4" spans="1:19" x14ac:dyDescent="0.3">
      <c r="A4" s="8">
        <v>1</v>
      </c>
      <c r="B4" s="8"/>
      <c r="C4" s="9" t="s">
        <v>95</v>
      </c>
      <c r="D4" s="49" t="s">
        <v>64</v>
      </c>
      <c r="E4" s="49" t="s">
        <v>65</v>
      </c>
      <c r="F4" s="49">
        <v>5</v>
      </c>
      <c r="G4" s="49" t="s">
        <v>24</v>
      </c>
      <c r="H4" s="10"/>
      <c r="I4" s="11"/>
      <c r="J4" s="11"/>
      <c r="K4" s="11"/>
      <c r="L4" s="12"/>
      <c r="M4" s="12"/>
      <c r="N4" s="12"/>
      <c r="O4" s="11"/>
      <c r="P4" s="11"/>
      <c r="Q4" s="11"/>
      <c r="R4" s="10" t="s">
        <v>64</v>
      </c>
      <c r="S4" s="10"/>
    </row>
    <row r="5" spans="1:19" x14ac:dyDescent="0.3">
      <c r="A5" s="8">
        <v>2</v>
      </c>
      <c r="B5" s="8"/>
      <c r="C5" s="9" t="s">
        <v>97</v>
      </c>
      <c r="D5" s="49" t="s">
        <v>64</v>
      </c>
      <c r="E5" s="49" t="s">
        <v>65</v>
      </c>
      <c r="F5" s="49">
        <v>2</v>
      </c>
      <c r="G5" s="49" t="s">
        <v>24</v>
      </c>
      <c r="H5" s="10"/>
      <c r="I5" s="11"/>
      <c r="J5" s="11"/>
      <c r="K5" s="11"/>
      <c r="L5" s="12"/>
      <c r="M5" s="12"/>
      <c r="N5" s="12"/>
      <c r="O5" s="11"/>
      <c r="P5" s="11"/>
      <c r="Q5" s="11"/>
      <c r="R5" s="10" t="s">
        <v>64</v>
      </c>
      <c r="S5" s="10"/>
    </row>
    <row r="6" spans="1:19" x14ac:dyDescent="0.3">
      <c r="A6" s="8">
        <v>3</v>
      </c>
      <c r="B6" s="8"/>
      <c r="C6" s="9" t="s">
        <v>96</v>
      </c>
      <c r="D6" s="49" t="s">
        <v>64</v>
      </c>
      <c r="E6" s="49" t="s">
        <v>65</v>
      </c>
      <c r="F6" s="49">
        <v>2</v>
      </c>
      <c r="G6" s="49" t="s">
        <v>24</v>
      </c>
      <c r="H6" s="10"/>
      <c r="I6" s="11"/>
      <c r="J6" s="11"/>
      <c r="K6" s="11"/>
      <c r="L6" s="12"/>
      <c r="M6" s="12"/>
      <c r="N6" s="12"/>
      <c r="O6" s="11"/>
      <c r="P6" s="11"/>
      <c r="Q6" s="11"/>
      <c r="R6" s="10" t="s">
        <v>64</v>
      </c>
      <c r="S6" s="10"/>
    </row>
    <row r="7" spans="1:19" x14ac:dyDescent="0.3">
      <c r="A7" s="8">
        <v>4</v>
      </c>
      <c r="B7" s="8"/>
      <c r="C7" s="9" t="s">
        <v>105</v>
      </c>
      <c r="D7" s="49" t="s">
        <v>64</v>
      </c>
      <c r="E7" s="49" t="s">
        <v>65</v>
      </c>
      <c r="F7" s="49">
        <v>1</v>
      </c>
      <c r="G7" s="49" t="s">
        <v>24</v>
      </c>
      <c r="H7" s="10"/>
      <c r="I7" s="11"/>
      <c r="J7" s="11"/>
      <c r="K7" s="11"/>
      <c r="L7" s="12"/>
      <c r="M7" s="12"/>
      <c r="N7" s="12"/>
      <c r="O7" s="11"/>
      <c r="P7" s="11"/>
      <c r="Q7" s="11"/>
      <c r="R7" s="10" t="s">
        <v>64</v>
      </c>
      <c r="S7" s="10"/>
    </row>
    <row r="8" spans="1:19" x14ac:dyDescent="0.3">
      <c r="A8" s="8">
        <v>5</v>
      </c>
      <c r="B8" s="8"/>
      <c r="C8" s="9" t="s">
        <v>105</v>
      </c>
      <c r="D8" s="49" t="s">
        <v>64</v>
      </c>
      <c r="E8" s="49" t="s">
        <v>65</v>
      </c>
      <c r="F8" s="49">
        <v>1</v>
      </c>
      <c r="G8" s="49" t="s">
        <v>24</v>
      </c>
      <c r="H8" s="10"/>
      <c r="I8" s="11"/>
      <c r="J8" s="11"/>
      <c r="K8" s="11"/>
      <c r="L8" s="12"/>
      <c r="M8" s="12"/>
      <c r="N8" s="12"/>
      <c r="O8" s="11"/>
      <c r="P8" s="11"/>
      <c r="Q8" s="11"/>
      <c r="R8" s="10" t="s">
        <v>64</v>
      </c>
      <c r="S8" s="10"/>
    </row>
    <row r="9" spans="1:19" x14ac:dyDescent="0.3">
      <c r="A9" s="8">
        <v>6</v>
      </c>
      <c r="B9" s="8"/>
      <c r="C9" s="9" t="s">
        <v>98</v>
      </c>
      <c r="D9" s="49" t="s">
        <v>64</v>
      </c>
      <c r="E9" s="49" t="s">
        <v>65</v>
      </c>
      <c r="F9" s="49">
        <v>1</v>
      </c>
      <c r="G9" s="49" t="s">
        <v>24</v>
      </c>
      <c r="H9" s="10"/>
      <c r="I9" s="11"/>
      <c r="J9" s="11"/>
      <c r="K9" s="11"/>
      <c r="L9" s="12"/>
      <c r="M9" s="12"/>
      <c r="N9" s="12"/>
      <c r="O9" s="11"/>
      <c r="P9" s="11"/>
      <c r="Q9" s="11"/>
      <c r="R9" s="10" t="s">
        <v>64</v>
      </c>
      <c r="S9" s="10"/>
    </row>
    <row r="10" spans="1:19" x14ac:dyDescent="0.3">
      <c r="A10" s="40" t="s">
        <v>129</v>
      </c>
      <c r="B10" s="40"/>
      <c r="C10" s="41" t="s">
        <v>25</v>
      </c>
      <c r="D10" s="48"/>
      <c r="E10" s="48"/>
      <c r="F10" s="48">
        <v>1</v>
      </c>
      <c r="G10" s="48" t="s">
        <v>24</v>
      </c>
      <c r="H10" s="37"/>
      <c r="I10" s="36"/>
      <c r="J10" s="36"/>
      <c r="K10" s="36"/>
      <c r="L10" s="42"/>
      <c r="M10" s="42"/>
      <c r="N10" s="42"/>
      <c r="O10" s="36"/>
      <c r="P10" s="36"/>
      <c r="Q10" s="36"/>
      <c r="R10" s="43"/>
      <c r="S10" s="43"/>
    </row>
    <row r="11" spans="1:19" ht="21.6" x14ac:dyDescent="0.3">
      <c r="A11" s="8">
        <v>7</v>
      </c>
      <c r="B11" s="8"/>
      <c r="C11" s="9" t="s">
        <v>69</v>
      </c>
      <c r="D11" s="49" t="s">
        <v>51</v>
      </c>
      <c r="E11" s="50" t="s">
        <v>127</v>
      </c>
      <c r="F11" s="49">
        <v>1</v>
      </c>
      <c r="G11" s="49" t="s">
        <v>24</v>
      </c>
      <c r="H11" s="10"/>
      <c r="I11" s="11"/>
      <c r="J11" s="11"/>
      <c r="K11" s="13"/>
      <c r="L11" s="12"/>
      <c r="M11" s="12"/>
      <c r="N11" s="12"/>
      <c r="O11" s="13"/>
      <c r="P11" s="13"/>
      <c r="Q11" s="13"/>
      <c r="R11" s="10" t="s">
        <v>46</v>
      </c>
      <c r="S11" s="10"/>
    </row>
    <row r="12" spans="1:19" ht="21.6" x14ac:dyDescent="0.3">
      <c r="A12" s="8">
        <v>8</v>
      </c>
      <c r="B12" s="8"/>
      <c r="C12" s="9" t="s">
        <v>69</v>
      </c>
      <c r="D12" s="49" t="s">
        <v>51</v>
      </c>
      <c r="E12" s="50" t="s">
        <v>70</v>
      </c>
      <c r="F12" s="49">
        <v>1</v>
      </c>
      <c r="G12" s="49" t="s">
        <v>24</v>
      </c>
      <c r="H12" s="10"/>
      <c r="I12" s="11"/>
      <c r="J12" s="11"/>
      <c r="K12" s="13"/>
      <c r="L12" s="12"/>
      <c r="M12" s="12"/>
      <c r="N12" s="12"/>
      <c r="O12" s="13"/>
      <c r="P12" s="13"/>
      <c r="Q12" s="13"/>
      <c r="R12" s="10" t="s">
        <v>46</v>
      </c>
      <c r="S12" s="10"/>
    </row>
    <row r="13" spans="1:19" x14ac:dyDescent="0.3">
      <c r="A13" s="40" t="s">
        <v>130</v>
      </c>
      <c r="B13" s="40"/>
      <c r="C13" s="41" t="s">
        <v>42</v>
      </c>
      <c r="D13" s="51"/>
      <c r="E13" s="51"/>
      <c r="F13" s="48">
        <v>1</v>
      </c>
      <c r="G13" s="48" t="s">
        <v>24</v>
      </c>
      <c r="H13" s="37"/>
      <c r="I13" s="36"/>
      <c r="J13" s="36"/>
      <c r="K13" s="36"/>
      <c r="L13" s="42"/>
      <c r="M13" s="42"/>
      <c r="N13" s="42"/>
      <c r="O13" s="36"/>
      <c r="P13" s="36"/>
      <c r="Q13" s="36"/>
      <c r="R13" s="43"/>
      <c r="S13" s="43"/>
    </row>
    <row r="14" spans="1:19" ht="21.6" x14ac:dyDescent="0.3">
      <c r="A14" s="8">
        <v>9</v>
      </c>
      <c r="B14" s="8"/>
      <c r="C14" s="9" t="s">
        <v>83</v>
      </c>
      <c r="D14" s="49" t="s">
        <v>29</v>
      </c>
      <c r="E14" s="49" t="s">
        <v>84</v>
      </c>
      <c r="F14" s="49">
        <v>2</v>
      </c>
      <c r="G14" s="49" t="s">
        <v>27</v>
      </c>
      <c r="H14" s="10"/>
      <c r="I14" s="11"/>
      <c r="J14" s="11"/>
      <c r="K14" s="13"/>
      <c r="L14" s="12"/>
      <c r="M14" s="12"/>
      <c r="N14" s="12"/>
      <c r="O14" s="13"/>
      <c r="P14" s="13"/>
      <c r="Q14" s="13"/>
      <c r="R14" s="10" t="s">
        <v>46</v>
      </c>
      <c r="S14" s="10"/>
    </row>
    <row r="15" spans="1:19" ht="21.6" x14ac:dyDescent="0.3">
      <c r="A15" s="8">
        <v>10</v>
      </c>
      <c r="B15" s="8"/>
      <c r="C15" s="9" t="s">
        <v>85</v>
      </c>
      <c r="D15" s="49" t="s">
        <v>29</v>
      </c>
      <c r="E15" s="49" t="s">
        <v>86</v>
      </c>
      <c r="F15" s="49">
        <v>1</v>
      </c>
      <c r="G15" s="49" t="s">
        <v>27</v>
      </c>
      <c r="H15" s="10"/>
      <c r="I15" s="11"/>
      <c r="J15" s="11"/>
      <c r="K15" s="13"/>
      <c r="L15" s="12"/>
      <c r="M15" s="12"/>
      <c r="N15" s="12"/>
      <c r="O15" s="13"/>
      <c r="P15" s="13"/>
      <c r="Q15" s="13"/>
      <c r="R15" s="10" t="s">
        <v>46</v>
      </c>
      <c r="S15" s="10"/>
    </row>
    <row r="16" spans="1:19" ht="21.6" hidden="1" x14ac:dyDescent="0.3">
      <c r="A16" s="18">
        <f t="shared" ref="A16:A19" si="0">A15+1</f>
        <v>11</v>
      </c>
      <c r="B16" s="18"/>
      <c r="C16" s="19" t="s">
        <v>91</v>
      </c>
      <c r="D16" s="52" t="s">
        <v>29</v>
      </c>
      <c r="E16" s="52" t="s">
        <v>87</v>
      </c>
      <c r="F16" s="52">
        <v>3</v>
      </c>
      <c r="G16" s="52" t="s">
        <v>27</v>
      </c>
      <c r="H16" s="20"/>
      <c r="I16" s="21"/>
      <c r="J16" s="21"/>
      <c r="K16" s="22"/>
      <c r="L16" s="23"/>
      <c r="M16" s="23"/>
      <c r="N16" s="23"/>
      <c r="O16" s="22"/>
      <c r="P16" s="22"/>
      <c r="Q16" s="22"/>
      <c r="R16" s="20" t="s">
        <v>46</v>
      </c>
      <c r="S16" s="20"/>
    </row>
    <row r="17" spans="1:19" ht="21.6" hidden="1" x14ac:dyDescent="0.3">
      <c r="A17" s="18">
        <f t="shared" si="0"/>
        <v>12</v>
      </c>
      <c r="B17" s="18"/>
      <c r="C17" s="19" t="s">
        <v>92</v>
      </c>
      <c r="D17" s="52" t="s">
        <v>29</v>
      </c>
      <c r="E17" s="52" t="s">
        <v>88</v>
      </c>
      <c r="F17" s="52">
        <v>3</v>
      </c>
      <c r="G17" s="52" t="s">
        <v>27</v>
      </c>
      <c r="H17" s="20"/>
      <c r="I17" s="21"/>
      <c r="J17" s="21"/>
      <c r="K17" s="22"/>
      <c r="L17" s="23"/>
      <c r="M17" s="23"/>
      <c r="N17" s="23"/>
      <c r="O17" s="22"/>
      <c r="P17" s="22"/>
      <c r="Q17" s="22"/>
      <c r="R17" s="20" t="s">
        <v>46</v>
      </c>
      <c r="S17" s="20"/>
    </row>
    <row r="18" spans="1:19" ht="21.6" hidden="1" x14ac:dyDescent="0.3">
      <c r="A18" s="18">
        <f t="shared" si="0"/>
        <v>13</v>
      </c>
      <c r="B18" s="18"/>
      <c r="C18" s="19" t="s">
        <v>93</v>
      </c>
      <c r="D18" s="52" t="s">
        <v>29</v>
      </c>
      <c r="E18" s="52" t="s">
        <v>89</v>
      </c>
      <c r="F18" s="52">
        <v>3</v>
      </c>
      <c r="G18" s="52" t="s">
        <v>27</v>
      </c>
      <c r="H18" s="20"/>
      <c r="I18" s="21"/>
      <c r="J18" s="21"/>
      <c r="K18" s="22"/>
      <c r="L18" s="23"/>
      <c r="M18" s="23"/>
      <c r="N18" s="23"/>
      <c r="O18" s="22"/>
      <c r="P18" s="22"/>
      <c r="Q18" s="22"/>
      <c r="R18" s="20" t="s">
        <v>46</v>
      </c>
      <c r="S18" s="20"/>
    </row>
    <row r="19" spans="1:19" ht="21.6" hidden="1" x14ac:dyDescent="0.3">
      <c r="A19" s="18">
        <f t="shared" si="0"/>
        <v>14</v>
      </c>
      <c r="B19" s="18"/>
      <c r="C19" s="19" t="s">
        <v>94</v>
      </c>
      <c r="D19" s="52" t="s">
        <v>29</v>
      </c>
      <c r="E19" s="52" t="s">
        <v>90</v>
      </c>
      <c r="F19" s="52">
        <v>3</v>
      </c>
      <c r="G19" s="52" t="s">
        <v>27</v>
      </c>
      <c r="H19" s="20"/>
      <c r="I19" s="21"/>
      <c r="J19" s="21"/>
      <c r="K19" s="22"/>
      <c r="L19" s="23"/>
      <c r="M19" s="23"/>
      <c r="N19" s="23"/>
      <c r="O19" s="22"/>
      <c r="P19" s="22"/>
      <c r="Q19" s="22"/>
      <c r="R19" s="20" t="s">
        <v>46</v>
      </c>
      <c r="S19" s="20"/>
    </row>
    <row r="20" spans="1:19" x14ac:dyDescent="0.3">
      <c r="A20" s="8">
        <v>15</v>
      </c>
      <c r="B20" s="8"/>
      <c r="C20" s="9" t="s">
        <v>44</v>
      </c>
      <c r="D20" s="49" t="s">
        <v>28</v>
      </c>
      <c r="E20" s="49" t="s">
        <v>45</v>
      </c>
      <c r="F20" s="49">
        <v>2</v>
      </c>
      <c r="G20" s="49" t="s">
        <v>27</v>
      </c>
      <c r="H20" s="10"/>
      <c r="I20" s="11"/>
      <c r="J20" s="11"/>
      <c r="K20" s="24"/>
      <c r="L20" s="25"/>
      <c r="M20" s="25"/>
      <c r="N20" s="25"/>
      <c r="O20" s="24"/>
      <c r="P20" s="24"/>
      <c r="Q20" s="24"/>
      <c r="R20" s="28" t="s">
        <v>46</v>
      </c>
      <c r="S20" s="28"/>
    </row>
    <row r="21" spans="1:19" x14ac:dyDescent="0.3">
      <c r="A21" s="8">
        <v>16</v>
      </c>
      <c r="B21" s="8"/>
      <c r="C21" s="9" t="s">
        <v>106</v>
      </c>
      <c r="D21" s="49" t="s">
        <v>36</v>
      </c>
      <c r="E21" s="49" t="s">
        <v>107</v>
      </c>
      <c r="F21" s="49">
        <v>6</v>
      </c>
      <c r="G21" s="49" t="s">
        <v>27</v>
      </c>
      <c r="H21" s="10"/>
      <c r="I21" s="11"/>
      <c r="J21" s="11"/>
      <c r="K21" s="24"/>
      <c r="L21" s="25"/>
      <c r="M21" s="25"/>
      <c r="N21" s="25"/>
      <c r="O21" s="24"/>
      <c r="P21" s="24"/>
      <c r="Q21" s="24"/>
      <c r="R21" s="28" t="s">
        <v>46</v>
      </c>
      <c r="S21" s="28"/>
    </row>
    <row r="22" spans="1:19" x14ac:dyDescent="0.3">
      <c r="A22" s="26">
        <v>17</v>
      </c>
      <c r="B22" s="26"/>
      <c r="C22" s="27" t="s">
        <v>67</v>
      </c>
      <c r="D22" s="53" t="s">
        <v>26</v>
      </c>
      <c r="E22" s="53" t="s">
        <v>53</v>
      </c>
      <c r="F22" s="53">
        <v>1</v>
      </c>
      <c r="G22" s="53" t="s">
        <v>27</v>
      </c>
      <c r="H22" s="28"/>
      <c r="I22" s="11"/>
      <c r="J22" s="11"/>
      <c r="K22" s="29"/>
      <c r="L22" s="25"/>
      <c r="M22" s="25"/>
      <c r="N22" s="25"/>
      <c r="O22" s="29"/>
      <c r="P22" s="29"/>
      <c r="Q22" s="29"/>
      <c r="R22" s="28" t="s">
        <v>46</v>
      </c>
      <c r="S22" s="28"/>
    </row>
    <row r="23" spans="1:19" x14ac:dyDescent="0.3">
      <c r="A23" s="40" t="s">
        <v>131</v>
      </c>
      <c r="B23" s="40"/>
      <c r="C23" s="41" t="s">
        <v>43</v>
      </c>
      <c r="D23" s="51"/>
      <c r="E23" s="51"/>
      <c r="F23" s="48">
        <v>1</v>
      </c>
      <c r="G23" s="48" t="s">
        <v>24</v>
      </c>
      <c r="H23" s="37"/>
      <c r="I23" s="36"/>
      <c r="J23" s="36"/>
      <c r="K23" s="36"/>
      <c r="L23" s="42"/>
      <c r="M23" s="42"/>
      <c r="N23" s="42"/>
      <c r="O23" s="36"/>
      <c r="P23" s="36"/>
      <c r="Q23" s="36"/>
      <c r="R23" s="43"/>
      <c r="S23" s="43"/>
    </row>
    <row r="24" spans="1:19" ht="21.6" x14ac:dyDescent="0.3">
      <c r="A24" s="8">
        <v>19</v>
      </c>
      <c r="B24" s="8"/>
      <c r="C24" s="9" t="s">
        <v>126</v>
      </c>
      <c r="D24" s="49" t="s">
        <v>29</v>
      </c>
      <c r="E24" s="49" t="s">
        <v>125</v>
      </c>
      <c r="F24" s="49">
        <v>3</v>
      </c>
      <c r="G24" s="49" t="s">
        <v>27</v>
      </c>
      <c r="H24" s="10"/>
      <c r="I24" s="11"/>
      <c r="J24" s="11"/>
      <c r="K24" s="13"/>
      <c r="L24" s="12"/>
      <c r="M24" s="12"/>
      <c r="N24" s="12"/>
      <c r="O24" s="13"/>
      <c r="P24" s="13"/>
      <c r="Q24" s="13"/>
      <c r="R24" s="10" t="s">
        <v>46</v>
      </c>
      <c r="S24" s="10"/>
    </row>
    <row r="25" spans="1:19" ht="21.6" x14ac:dyDescent="0.3">
      <c r="A25" s="8">
        <v>20</v>
      </c>
      <c r="B25" s="8"/>
      <c r="C25" s="9" t="s">
        <v>74</v>
      </c>
      <c r="D25" s="49" t="s">
        <v>29</v>
      </c>
      <c r="E25" s="49" t="s">
        <v>54</v>
      </c>
      <c r="F25" s="49">
        <v>3</v>
      </c>
      <c r="G25" s="49" t="s">
        <v>27</v>
      </c>
      <c r="H25" s="10"/>
      <c r="I25" s="11"/>
      <c r="J25" s="11"/>
      <c r="K25" s="13"/>
      <c r="L25" s="12"/>
      <c r="M25" s="12"/>
      <c r="N25" s="12"/>
      <c r="O25" s="13"/>
      <c r="P25" s="13"/>
      <c r="Q25" s="13"/>
      <c r="R25" s="10" t="s">
        <v>46</v>
      </c>
      <c r="S25" s="10"/>
    </row>
    <row r="26" spans="1:19" ht="21.6" x14ac:dyDescent="0.3">
      <c r="A26" s="8">
        <v>21</v>
      </c>
      <c r="B26" s="8"/>
      <c r="C26" s="9" t="s">
        <v>75</v>
      </c>
      <c r="D26" s="49" t="s">
        <v>29</v>
      </c>
      <c r="E26" s="49" t="s">
        <v>55</v>
      </c>
      <c r="F26" s="49">
        <v>3</v>
      </c>
      <c r="G26" s="49" t="s">
        <v>27</v>
      </c>
      <c r="H26" s="10"/>
      <c r="I26" s="11"/>
      <c r="J26" s="11"/>
      <c r="K26" s="13"/>
      <c r="L26" s="12"/>
      <c r="M26" s="12"/>
      <c r="N26" s="12"/>
      <c r="O26" s="13"/>
      <c r="P26" s="13"/>
      <c r="Q26" s="13"/>
      <c r="R26" s="10" t="s">
        <v>46</v>
      </c>
      <c r="S26" s="10"/>
    </row>
    <row r="27" spans="1:19" ht="21.6" x14ac:dyDescent="0.3">
      <c r="A27" s="8">
        <f t="shared" ref="A27:A29" si="1">A26+1</f>
        <v>22</v>
      </c>
      <c r="B27" s="8"/>
      <c r="C27" s="9" t="s">
        <v>76</v>
      </c>
      <c r="D27" s="49" t="s">
        <v>29</v>
      </c>
      <c r="E27" s="49" t="s">
        <v>56</v>
      </c>
      <c r="F27" s="49">
        <v>3</v>
      </c>
      <c r="G27" s="49" t="s">
        <v>27</v>
      </c>
      <c r="H27" s="10"/>
      <c r="I27" s="11"/>
      <c r="J27" s="11"/>
      <c r="K27" s="13"/>
      <c r="L27" s="12"/>
      <c r="M27" s="12"/>
      <c r="N27" s="12"/>
      <c r="O27" s="13"/>
      <c r="P27" s="13"/>
      <c r="Q27" s="13"/>
      <c r="R27" s="10" t="s">
        <v>46</v>
      </c>
      <c r="S27" s="10"/>
    </row>
    <row r="28" spans="1:19" ht="21.6" x14ac:dyDescent="0.3">
      <c r="A28" s="8">
        <f t="shared" si="1"/>
        <v>23</v>
      </c>
      <c r="B28" s="8"/>
      <c r="C28" s="9" t="s">
        <v>77</v>
      </c>
      <c r="D28" s="49" t="s">
        <v>29</v>
      </c>
      <c r="E28" s="49" t="s">
        <v>62</v>
      </c>
      <c r="F28" s="49">
        <v>3</v>
      </c>
      <c r="G28" s="49" t="s">
        <v>27</v>
      </c>
      <c r="H28" s="10"/>
      <c r="I28" s="11"/>
      <c r="J28" s="11"/>
      <c r="K28" s="13"/>
      <c r="L28" s="12"/>
      <c r="M28" s="12"/>
      <c r="N28" s="12"/>
      <c r="O28" s="13"/>
      <c r="P28" s="13"/>
      <c r="Q28" s="13"/>
      <c r="R28" s="10" t="s">
        <v>46</v>
      </c>
      <c r="S28" s="10"/>
    </row>
    <row r="29" spans="1:19" ht="21.6" x14ac:dyDescent="0.3">
      <c r="A29" s="8">
        <f t="shared" si="1"/>
        <v>24</v>
      </c>
      <c r="B29" s="8"/>
      <c r="C29" s="9" t="s">
        <v>124</v>
      </c>
      <c r="D29" s="49" t="s">
        <v>29</v>
      </c>
      <c r="E29" s="49" t="s">
        <v>118</v>
      </c>
      <c r="F29" s="49">
        <v>2</v>
      </c>
      <c r="G29" s="49" t="s">
        <v>27</v>
      </c>
      <c r="H29" s="10"/>
      <c r="I29" s="11"/>
      <c r="J29" s="11"/>
      <c r="K29" s="13"/>
      <c r="L29" s="12"/>
      <c r="M29" s="12"/>
      <c r="N29" s="12"/>
      <c r="O29" s="13"/>
      <c r="P29" s="13"/>
      <c r="Q29" s="13"/>
      <c r="R29" s="10" t="s">
        <v>46</v>
      </c>
      <c r="S29" s="10"/>
    </row>
    <row r="30" spans="1:19" x14ac:dyDescent="0.3">
      <c r="A30" s="8">
        <v>25</v>
      </c>
      <c r="B30" s="8"/>
      <c r="C30" s="9" t="s">
        <v>44</v>
      </c>
      <c r="D30" s="49" t="s">
        <v>28</v>
      </c>
      <c r="E30" s="49" t="s">
        <v>45</v>
      </c>
      <c r="F30" s="49">
        <v>3</v>
      </c>
      <c r="G30" s="49" t="s">
        <v>27</v>
      </c>
      <c r="H30" s="10"/>
      <c r="I30" s="11"/>
      <c r="J30" s="11"/>
      <c r="K30" s="24"/>
      <c r="L30" s="25"/>
      <c r="M30" s="25"/>
      <c r="N30" s="25"/>
      <c r="O30" s="24"/>
      <c r="P30" s="24"/>
      <c r="Q30" s="24"/>
      <c r="R30" s="28" t="s">
        <v>46</v>
      </c>
      <c r="S30" s="28"/>
    </row>
    <row r="31" spans="1:19" x14ac:dyDescent="0.3">
      <c r="A31" s="8">
        <v>26</v>
      </c>
      <c r="B31" s="8"/>
      <c r="C31" s="9" t="s">
        <v>106</v>
      </c>
      <c r="D31" s="49" t="s">
        <v>36</v>
      </c>
      <c r="E31" s="49" t="s">
        <v>107</v>
      </c>
      <c r="F31" s="49">
        <v>9</v>
      </c>
      <c r="G31" s="49" t="s">
        <v>27</v>
      </c>
      <c r="H31" s="10"/>
      <c r="I31" s="11"/>
      <c r="J31" s="11"/>
      <c r="K31" s="24"/>
      <c r="L31" s="25"/>
      <c r="M31" s="25"/>
      <c r="N31" s="25"/>
      <c r="O31" s="24"/>
      <c r="P31" s="24"/>
      <c r="Q31" s="24"/>
      <c r="R31" s="28" t="s">
        <v>46</v>
      </c>
      <c r="S31" s="28"/>
    </row>
    <row r="32" spans="1:19" x14ac:dyDescent="0.3">
      <c r="A32" s="8">
        <v>27</v>
      </c>
      <c r="B32" s="8"/>
      <c r="C32" s="9" t="s">
        <v>81</v>
      </c>
      <c r="D32" s="49" t="s">
        <v>26</v>
      </c>
      <c r="E32" s="49" t="s">
        <v>68</v>
      </c>
      <c r="F32" s="49">
        <v>1</v>
      </c>
      <c r="G32" s="49" t="s">
        <v>27</v>
      </c>
      <c r="H32" s="10"/>
      <c r="I32" s="11"/>
      <c r="J32" s="11"/>
      <c r="K32" s="13"/>
      <c r="L32" s="12"/>
      <c r="M32" s="12"/>
      <c r="N32" s="12"/>
      <c r="O32" s="13"/>
      <c r="P32" s="13"/>
      <c r="Q32" s="13"/>
      <c r="R32" s="10" t="s">
        <v>46</v>
      </c>
      <c r="S32" s="10"/>
    </row>
    <row r="33" spans="1:19" x14ac:dyDescent="0.3">
      <c r="A33" s="4" t="s">
        <v>132</v>
      </c>
      <c r="B33" s="4"/>
      <c r="C33" s="16" t="s">
        <v>79</v>
      </c>
      <c r="D33" s="54"/>
      <c r="E33" s="54"/>
      <c r="F33" s="55">
        <v>1</v>
      </c>
      <c r="G33" s="55" t="s">
        <v>24</v>
      </c>
      <c r="H33" s="17"/>
      <c r="I33" s="5"/>
      <c r="J33" s="5"/>
      <c r="K33" s="5"/>
      <c r="L33" s="6"/>
      <c r="M33" s="6"/>
      <c r="N33" s="6"/>
      <c r="O33" s="5"/>
      <c r="P33" s="5"/>
      <c r="Q33" s="5"/>
      <c r="R33" s="7"/>
      <c r="S33" s="43"/>
    </row>
    <row r="34" spans="1:19" ht="21.6" x14ac:dyDescent="0.3">
      <c r="A34" s="8">
        <v>28</v>
      </c>
      <c r="B34" s="8"/>
      <c r="C34" s="9" t="s">
        <v>100</v>
      </c>
      <c r="D34" s="49" t="s">
        <v>29</v>
      </c>
      <c r="E34" s="49" t="s">
        <v>58</v>
      </c>
      <c r="F34" s="49">
        <v>2</v>
      </c>
      <c r="G34" s="49" t="s">
        <v>27</v>
      </c>
      <c r="H34" s="10"/>
      <c r="I34" s="11"/>
      <c r="J34" s="11"/>
      <c r="K34" s="11"/>
      <c r="L34" s="12"/>
      <c r="M34" s="12"/>
      <c r="N34" s="12"/>
      <c r="O34" s="11"/>
      <c r="P34" s="11"/>
      <c r="Q34" s="11"/>
      <c r="R34" s="30" t="s">
        <v>46</v>
      </c>
      <c r="S34" s="30"/>
    </row>
    <row r="35" spans="1:19" ht="21.6" x14ac:dyDescent="0.3">
      <c r="A35" s="8">
        <v>29</v>
      </c>
      <c r="B35" s="8"/>
      <c r="C35" s="9" t="s">
        <v>101</v>
      </c>
      <c r="D35" s="49" t="s">
        <v>29</v>
      </c>
      <c r="E35" s="49" t="s">
        <v>59</v>
      </c>
      <c r="F35" s="49">
        <v>2</v>
      </c>
      <c r="G35" s="49" t="s">
        <v>27</v>
      </c>
      <c r="H35" s="10"/>
      <c r="I35" s="11"/>
      <c r="J35" s="11"/>
      <c r="K35" s="11"/>
      <c r="L35" s="12"/>
      <c r="M35" s="12"/>
      <c r="N35" s="12"/>
      <c r="O35" s="11"/>
      <c r="P35" s="11"/>
      <c r="Q35" s="11"/>
      <c r="R35" s="30" t="s">
        <v>46</v>
      </c>
      <c r="S35" s="30"/>
    </row>
    <row r="36" spans="1:19" ht="21.6" x14ac:dyDescent="0.3">
      <c r="A36" s="8">
        <v>30</v>
      </c>
      <c r="B36" s="8"/>
      <c r="C36" s="9" t="s">
        <v>102</v>
      </c>
      <c r="D36" s="49" t="s">
        <v>29</v>
      </c>
      <c r="E36" s="49" t="s">
        <v>61</v>
      </c>
      <c r="F36" s="49">
        <v>2</v>
      </c>
      <c r="G36" s="49" t="s">
        <v>27</v>
      </c>
      <c r="H36" s="10"/>
      <c r="I36" s="11"/>
      <c r="J36" s="11"/>
      <c r="K36" s="11"/>
      <c r="L36" s="12"/>
      <c r="M36" s="12"/>
      <c r="N36" s="12"/>
      <c r="O36" s="11"/>
      <c r="P36" s="11"/>
      <c r="Q36" s="11"/>
      <c r="R36" s="30" t="s">
        <v>46</v>
      </c>
      <c r="S36" s="30"/>
    </row>
    <row r="37" spans="1:19" ht="21.6" x14ac:dyDescent="0.3">
      <c r="A37" s="8">
        <v>31</v>
      </c>
      <c r="B37" s="8"/>
      <c r="C37" s="9" t="s">
        <v>103</v>
      </c>
      <c r="D37" s="49" t="s">
        <v>29</v>
      </c>
      <c r="E37" s="49" t="s">
        <v>60</v>
      </c>
      <c r="F37" s="49">
        <v>2</v>
      </c>
      <c r="G37" s="49" t="s">
        <v>27</v>
      </c>
      <c r="H37" s="10"/>
      <c r="I37" s="11"/>
      <c r="J37" s="11"/>
      <c r="K37" s="11"/>
      <c r="L37" s="12"/>
      <c r="M37" s="12"/>
      <c r="N37" s="12"/>
      <c r="O37" s="11"/>
      <c r="P37" s="11"/>
      <c r="Q37" s="11"/>
      <c r="R37" s="30" t="s">
        <v>46</v>
      </c>
      <c r="S37" s="30"/>
    </row>
    <row r="38" spans="1:19" ht="21.6" x14ac:dyDescent="0.3">
      <c r="A38" s="8">
        <v>32</v>
      </c>
      <c r="B38" s="8"/>
      <c r="C38" s="9" t="s">
        <v>104</v>
      </c>
      <c r="D38" s="49" t="s">
        <v>29</v>
      </c>
      <c r="E38" s="49" t="s">
        <v>63</v>
      </c>
      <c r="F38" s="49">
        <v>2</v>
      </c>
      <c r="G38" s="49" t="s">
        <v>27</v>
      </c>
      <c r="H38" s="10"/>
      <c r="I38" s="11"/>
      <c r="J38" s="11"/>
      <c r="K38" s="11"/>
      <c r="L38" s="12"/>
      <c r="M38" s="12"/>
      <c r="N38" s="12"/>
      <c r="O38" s="11"/>
      <c r="P38" s="11"/>
      <c r="Q38" s="11"/>
      <c r="R38" s="30" t="s">
        <v>46</v>
      </c>
      <c r="S38" s="30"/>
    </row>
    <row r="39" spans="1:19" x14ac:dyDescent="0.3">
      <c r="A39" s="8">
        <v>33</v>
      </c>
      <c r="B39" s="8"/>
      <c r="C39" s="9" t="s">
        <v>44</v>
      </c>
      <c r="D39" s="49" t="s">
        <v>28</v>
      </c>
      <c r="E39" s="49" t="s">
        <v>45</v>
      </c>
      <c r="F39" s="49">
        <v>2</v>
      </c>
      <c r="G39" s="49" t="s">
        <v>27</v>
      </c>
      <c r="H39" s="10"/>
      <c r="I39" s="11"/>
      <c r="J39" s="11"/>
      <c r="K39" s="24"/>
      <c r="L39" s="25"/>
      <c r="M39" s="25"/>
      <c r="N39" s="25"/>
      <c r="O39" s="24"/>
      <c r="P39" s="24"/>
      <c r="Q39" s="24"/>
      <c r="R39" s="28" t="s">
        <v>46</v>
      </c>
      <c r="S39" s="28"/>
    </row>
    <row r="40" spans="1:19" x14ac:dyDescent="0.3">
      <c r="A40" s="8">
        <v>34</v>
      </c>
      <c r="B40" s="8"/>
      <c r="C40" s="9" t="s">
        <v>106</v>
      </c>
      <c r="D40" s="49" t="s">
        <v>36</v>
      </c>
      <c r="E40" s="49" t="s">
        <v>107</v>
      </c>
      <c r="F40" s="49">
        <v>6</v>
      </c>
      <c r="G40" s="49" t="s">
        <v>27</v>
      </c>
      <c r="H40" s="10"/>
      <c r="I40" s="11"/>
      <c r="J40" s="11"/>
      <c r="K40" s="24"/>
      <c r="L40" s="25"/>
      <c r="M40" s="25"/>
      <c r="N40" s="25"/>
      <c r="O40" s="24"/>
      <c r="P40" s="24"/>
      <c r="Q40" s="24"/>
      <c r="R40" s="28" t="s">
        <v>46</v>
      </c>
      <c r="S40" s="28"/>
    </row>
    <row r="41" spans="1:19" x14ac:dyDescent="0.3">
      <c r="A41" s="8">
        <v>35</v>
      </c>
      <c r="B41" s="8"/>
      <c r="C41" s="9" t="s">
        <v>82</v>
      </c>
      <c r="D41" s="53" t="s">
        <v>26</v>
      </c>
      <c r="E41" s="49" t="s">
        <v>80</v>
      </c>
      <c r="F41" s="49">
        <v>1</v>
      </c>
      <c r="G41" s="49" t="s">
        <v>27</v>
      </c>
      <c r="H41" s="10"/>
      <c r="I41" s="11"/>
      <c r="J41" s="11"/>
      <c r="K41" s="11"/>
      <c r="L41" s="12"/>
      <c r="M41" s="12"/>
      <c r="N41" s="12"/>
      <c r="O41" s="11"/>
      <c r="P41" s="11"/>
      <c r="Q41" s="11"/>
      <c r="R41" s="28" t="s">
        <v>46</v>
      </c>
      <c r="S41" s="28"/>
    </row>
    <row r="42" spans="1:19" x14ac:dyDescent="0.3">
      <c r="A42" s="40" t="s">
        <v>133</v>
      </c>
      <c r="B42" s="40"/>
      <c r="C42" s="41" t="s">
        <v>30</v>
      </c>
      <c r="D42" s="48"/>
      <c r="E42" s="48"/>
      <c r="F42" s="48">
        <v>1</v>
      </c>
      <c r="G42" s="48" t="s">
        <v>24</v>
      </c>
      <c r="H42" s="37"/>
      <c r="I42" s="36"/>
      <c r="J42" s="36"/>
      <c r="K42" s="36"/>
      <c r="L42" s="42"/>
      <c r="M42" s="42"/>
      <c r="N42" s="42"/>
      <c r="O42" s="36"/>
      <c r="P42" s="36"/>
      <c r="Q42" s="36"/>
      <c r="R42" s="43"/>
      <c r="S42" s="43"/>
    </row>
    <row r="43" spans="1:19" x14ac:dyDescent="0.3">
      <c r="A43" s="26">
        <v>36</v>
      </c>
      <c r="B43" s="26"/>
      <c r="C43" s="27" t="s">
        <v>31</v>
      </c>
      <c r="D43" s="53" t="s">
        <v>28</v>
      </c>
      <c r="E43" s="53" t="s">
        <v>32</v>
      </c>
      <c r="F43" s="53">
        <v>2</v>
      </c>
      <c r="G43" s="53" t="s">
        <v>27</v>
      </c>
      <c r="H43" s="28"/>
      <c r="I43" s="11"/>
      <c r="J43" s="11"/>
      <c r="K43" s="24"/>
      <c r="L43" s="25"/>
      <c r="M43" s="25"/>
      <c r="N43" s="25"/>
      <c r="O43" s="24"/>
      <c r="P43" s="24"/>
      <c r="Q43" s="24"/>
      <c r="R43" s="28" t="s">
        <v>46</v>
      </c>
      <c r="S43" s="28"/>
    </row>
    <row r="44" spans="1:19" x14ac:dyDescent="0.3">
      <c r="A44" s="26">
        <v>37</v>
      </c>
      <c r="B44" s="26"/>
      <c r="C44" s="27" t="s">
        <v>33</v>
      </c>
      <c r="D44" s="53" t="s">
        <v>28</v>
      </c>
      <c r="E44" s="53" t="s">
        <v>34</v>
      </c>
      <c r="F44" s="53">
        <v>2</v>
      </c>
      <c r="G44" s="53" t="s">
        <v>27</v>
      </c>
      <c r="H44" s="28"/>
      <c r="I44" s="11"/>
      <c r="J44" s="11"/>
      <c r="K44" s="24"/>
      <c r="L44" s="25"/>
      <c r="M44" s="25"/>
      <c r="N44" s="25"/>
      <c r="O44" s="24"/>
      <c r="P44" s="24"/>
      <c r="Q44" s="24"/>
      <c r="R44" s="28" t="s">
        <v>46</v>
      </c>
      <c r="S44" s="28"/>
    </row>
    <row r="45" spans="1:19" x14ac:dyDescent="0.3">
      <c r="A45" s="26">
        <f t="shared" ref="A45:A49" si="2">A44+1</f>
        <v>38</v>
      </c>
      <c r="B45" s="26"/>
      <c r="C45" s="27" t="s">
        <v>44</v>
      </c>
      <c r="D45" s="53" t="s">
        <v>28</v>
      </c>
      <c r="E45" s="53" t="s">
        <v>45</v>
      </c>
      <c r="F45" s="53">
        <v>2</v>
      </c>
      <c r="G45" s="53" t="s">
        <v>27</v>
      </c>
      <c r="H45" s="28"/>
      <c r="I45" s="11"/>
      <c r="J45" s="11"/>
      <c r="K45" s="24"/>
      <c r="L45" s="25"/>
      <c r="M45" s="25"/>
      <c r="N45" s="25"/>
      <c r="O45" s="24"/>
      <c r="P45" s="24"/>
      <c r="Q45" s="24"/>
      <c r="R45" s="28" t="s">
        <v>46</v>
      </c>
      <c r="S45" s="28"/>
    </row>
    <row r="46" spans="1:19" x14ac:dyDescent="0.3">
      <c r="A46" s="26">
        <f t="shared" si="2"/>
        <v>39</v>
      </c>
      <c r="B46" s="26"/>
      <c r="C46" s="27" t="s">
        <v>35</v>
      </c>
      <c r="D46" s="53" t="s">
        <v>36</v>
      </c>
      <c r="E46" s="53" t="s">
        <v>37</v>
      </c>
      <c r="F46" s="53">
        <v>8</v>
      </c>
      <c r="G46" s="53" t="s">
        <v>27</v>
      </c>
      <c r="H46" s="28"/>
      <c r="I46" s="11"/>
      <c r="J46" s="11"/>
      <c r="K46" s="24"/>
      <c r="L46" s="25"/>
      <c r="M46" s="25"/>
      <c r="N46" s="25"/>
      <c r="O46" s="24"/>
      <c r="P46" s="24"/>
      <c r="Q46" s="24"/>
      <c r="R46" s="28" t="s">
        <v>46</v>
      </c>
      <c r="S46" s="28"/>
    </row>
    <row r="47" spans="1:19" x14ac:dyDescent="0.3">
      <c r="A47" s="26">
        <f t="shared" si="2"/>
        <v>40</v>
      </c>
      <c r="B47" s="26"/>
      <c r="C47" s="27" t="s">
        <v>122</v>
      </c>
      <c r="D47" s="53" t="s">
        <v>36</v>
      </c>
      <c r="E47" s="53" t="s">
        <v>123</v>
      </c>
      <c r="F47" s="53">
        <v>12</v>
      </c>
      <c r="G47" s="53" t="s">
        <v>27</v>
      </c>
      <c r="H47" s="28"/>
      <c r="I47" s="11"/>
      <c r="J47" s="11"/>
      <c r="K47" s="24"/>
      <c r="L47" s="25"/>
      <c r="M47" s="25"/>
      <c r="N47" s="25"/>
      <c r="O47" s="24"/>
      <c r="P47" s="24"/>
      <c r="Q47" s="24"/>
      <c r="R47" s="28" t="s">
        <v>46</v>
      </c>
      <c r="S47" s="28"/>
    </row>
    <row r="48" spans="1:19" x14ac:dyDescent="0.3">
      <c r="A48" s="26">
        <f t="shared" si="2"/>
        <v>41</v>
      </c>
      <c r="B48" s="26"/>
      <c r="C48" s="27" t="s">
        <v>71</v>
      </c>
      <c r="D48" s="53" t="s">
        <v>28</v>
      </c>
      <c r="E48" s="53" t="s">
        <v>72</v>
      </c>
      <c r="F48" s="53">
        <v>2</v>
      </c>
      <c r="G48" s="53" t="s">
        <v>27</v>
      </c>
      <c r="H48" s="28"/>
      <c r="I48" s="11"/>
      <c r="J48" s="11"/>
      <c r="K48" s="24"/>
      <c r="L48" s="25"/>
      <c r="M48" s="25"/>
      <c r="N48" s="25"/>
      <c r="O48" s="24"/>
      <c r="P48" s="24"/>
      <c r="Q48" s="24"/>
      <c r="R48" s="28" t="s">
        <v>46</v>
      </c>
      <c r="S48" s="28"/>
    </row>
    <row r="49" spans="1:19" x14ac:dyDescent="0.3">
      <c r="A49" s="26">
        <f t="shared" si="2"/>
        <v>42</v>
      </c>
      <c r="B49" s="26"/>
      <c r="C49" s="27" t="s">
        <v>47</v>
      </c>
      <c r="D49" s="53" t="s">
        <v>48</v>
      </c>
      <c r="E49" s="53" t="s">
        <v>49</v>
      </c>
      <c r="F49" s="53">
        <v>2</v>
      </c>
      <c r="G49" s="53" t="s">
        <v>27</v>
      </c>
      <c r="H49" s="28"/>
      <c r="I49" s="11"/>
      <c r="J49" s="11"/>
      <c r="K49" s="24"/>
      <c r="L49" s="25"/>
      <c r="M49" s="25"/>
      <c r="N49" s="25"/>
      <c r="O49" s="24"/>
      <c r="P49" s="24"/>
      <c r="Q49" s="24"/>
      <c r="R49" s="28" t="s">
        <v>46</v>
      </c>
      <c r="S49" s="28"/>
    </row>
    <row r="50" spans="1:19" ht="21.6" x14ac:dyDescent="0.3">
      <c r="A50" s="8">
        <v>43</v>
      </c>
      <c r="B50" s="8"/>
      <c r="C50" s="9" t="s">
        <v>108</v>
      </c>
      <c r="D50" s="49" t="s">
        <v>29</v>
      </c>
      <c r="E50" s="49" t="s">
        <v>66</v>
      </c>
      <c r="F50" s="49">
        <v>12</v>
      </c>
      <c r="G50" s="49" t="s">
        <v>27</v>
      </c>
      <c r="H50" s="10"/>
      <c r="I50" s="11"/>
      <c r="J50" s="11"/>
      <c r="K50" s="13"/>
      <c r="L50" s="12"/>
      <c r="M50" s="12"/>
      <c r="N50" s="12"/>
      <c r="O50" s="13"/>
      <c r="P50" s="13"/>
      <c r="Q50" s="13"/>
      <c r="R50" s="10" t="s">
        <v>46</v>
      </c>
      <c r="S50" s="10"/>
    </row>
    <row r="51" spans="1:19" ht="21.6" x14ac:dyDescent="0.3">
      <c r="A51" s="8">
        <v>44</v>
      </c>
      <c r="B51" s="8"/>
      <c r="C51" s="9" t="s">
        <v>109</v>
      </c>
      <c r="D51" s="49" t="s">
        <v>29</v>
      </c>
      <c r="E51" s="31" t="s">
        <v>115</v>
      </c>
      <c r="F51" s="49">
        <v>51</v>
      </c>
      <c r="G51" s="49" t="s">
        <v>27</v>
      </c>
      <c r="H51" s="10"/>
      <c r="I51" s="11"/>
      <c r="J51" s="11"/>
      <c r="K51" s="13"/>
      <c r="L51" s="12"/>
      <c r="M51" s="12"/>
      <c r="N51" s="12"/>
      <c r="O51" s="13"/>
      <c r="P51" s="13"/>
      <c r="Q51" s="13"/>
      <c r="R51" s="10" t="s">
        <v>46</v>
      </c>
      <c r="S51" s="10"/>
    </row>
    <row r="52" spans="1:19" ht="21.6" x14ac:dyDescent="0.3">
      <c r="A52" s="8">
        <v>45</v>
      </c>
      <c r="B52" s="8"/>
      <c r="C52" s="9" t="s">
        <v>110</v>
      </c>
      <c r="D52" s="49" t="s">
        <v>29</v>
      </c>
      <c r="E52" s="49" t="s">
        <v>116</v>
      </c>
      <c r="F52" s="49">
        <v>73</v>
      </c>
      <c r="G52" s="49" t="s">
        <v>27</v>
      </c>
      <c r="H52" s="10"/>
      <c r="I52" s="11"/>
      <c r="J52" s="11"/>
      <c r="K52" s="13"/>
      <c r="L52" s="12"/>
      <c r="M52" s="12"/>
      <c r="N52" s="12"/>
      <c r="O52" s="13"/>
      <c r="P52" s="13"/>
      <c r="Q52" s="13"/>
      <c r="R52" s="10" t="s">
        <v>46</v>
      </c>
      <c r="S52" s="10"/>
    </row>
    <row r="53" spans="1:19" ht="21.6" x14ac:dyDescent="0.3">
      <c r="A53" s="8">
        <v>46</v>
      </c>
      <c r="B53" s="8"/>
      <c r="C53" s="9" t="s">
        <v>111</v>
      </c>
      <c r="D53" s="49" t="s">
        <v>29</v>
      </c>
      <c r="E53" s="49" t="s">
        <v>117</v>
      </c>
      <c r="F53" s="49">
        <v>7</v>
      </c>
      <c r="G53" s="49" t="s">
        <v>27</v>
      </c>
      <c r="H53" s="10"/>
      <c r="I53" s="11"/>
      <c r="J53" s="11"/>
      <c r="K53" s="13"/>
      <c r="L53" s="12"/>
      <c r="M53" s="12"/>
      <c r="N53" s="12"/>
      <c r="O53" s="13"/>
      <c r="P53" s="13"/>
      <c r="Q53" s="13"/>
      <c r="R53" s="10" t="s">
        <v>46</v>
      </c>
      <c r="S53" s="10"/>
    </row>
    <row r="54" spans="1:19" ht="21.6" x14ac:dyDescent="0.3">
      <c r="A54" s="8">
        <v>47</v>
      </c>
      <c r="B54" s="8"/>
      <c r="C54" s="9" t="s">
        <v>112</v>
      </c>
      <c r="D54" s="49" t="s">
        <v>29</v>
      </c>
      <c r="E54" s="49" t="s">
        <v>57</v>
      </c>
      <c r="F54" s="49">
        <v>7</v>
      </c>
      <c r="G54" s="49" t="s">
        <v>27</v>
      </c>
      <c r="H54" s="10"/>
      <c r="I54" s="11"/>
      <c r="J54" s="11"/>
      <c r="K54" s="13"/>
      <c r="L54" s="12"/>
      <c r="M54" s="12"/>
      <c r="N54" s="12"/>
      <c r="O54" s="13"/>
      <c r="P54" s="13"/>
      <c r="Q54" s="13"/>
      <c r="R54" s="10" t="s">
        <v>46</v>
      </c>
      <c r="S54" s="10"/>
    </row>
    <row r="55" spans="1:19" ht="21.6" x14ac:dyDescent="0.3">
      <c r="A55" s="8">
        <v>48</v>
      </c>
      <c r="B55" s="8"/>
      <c r="C55" s="9" t="s">
        <v>113</v>
      </c>
      <c r="D55" s="49" t="s">
        <v>29</v>
      </c>
      <c r="E55" s="49" t="s">
        <v>73</v>
      </c>
      <c r="F55" s="49">
        <v>2</v>
      </c>
      <c r="G55" s="49" t="s">
        <v>27</v>
      </c>
      <c r="H55" s="10"/>
      <c r="I55" s="11"/>
      <c r="J55" s="11"/>
      <c r="K55" s="13"/>
      <c r="L55" s="12"/>
      <c r="M55" s="12"/>
      <c r="N55" s="12"/>
      <c r="O55" s="13"/>
      <c r="P55" s="13"/>
      <c r="Q55" s="13"/>
      <c r="R55" s="10" t="s">
        <v>46</v>
      </c>
      <c r="S55" s="10"/>
    </row>
    <row r="56" spans="1:19" ht="21.6" x14ac:dyDescent="0.3">
      <c r="A56" s="8">
        <v>49</v>
      </c>
      <c r="B56" s="8"/>
      <c r="C56" s="9" t="s">
        <v>114</v>
      </c>
      <c r="D56" s="49" t="s">
        <v>29</v>
      </c>
      <c r="E56" s="49" t="s">
        <v>118</v>
      </c>
      <c r="F56" s="49">
        <v>2</v>
      </c>
      <c r="G56" s="49" t="s">
        <v>27</v>
      </c>
      <c r="H56" s="10"/>
      <c r="I56" s="11"/>
      <c r="J56" s="11"/>
      <c r="K56" s="13"/>
      <c r="L56" s="12"/>
      <c r="M56" s="12"/>
      <c r="N56" s="12"/>
      <c r="O56" s="13"/>
      <c r="P56" s="13"/>
      <c r="Q56" s="13"/>
      <c r="R56" s="10" t="s">
        <v>46</v>
      </c>
      <c r="S56" s="10"/>
    </row>
    <row r="57" spans="1:19" ht="21.6" x14ac:dyDescent="0.3">
      <c r="A57" s="26">
        <v>50</v>
      </c>
      <c r="B57" s="26"/>
      <c r="C57" s="27" t="s">
        <v>38</v>
      </c>
      <c r="D57" s="53" t="s">
        <v>39</v>
      </c>
      <c r="E57" s="53" t="s">
        <v>40</v>
      </c>
      <c r="F57" s="53">
        <f>100+100*60%</f>
        <v>160</v>
      </c>
      <c r="G57" s="53" t="s">
        <v>41</v>
      </c>
      <c r="H57" s="28"/>
      <c r="I57" s="32"/>
      <c r="J57" s="32"/>
      <c r="K57" s="32"/>
      <c r="L57" s="33"/>
      <c r="M57" s="33"/>
      <c r="N57" s="33"/>
      <c r="O57" s="32"/>
      <c r="P57" s="32"/>
      <c r="Q57" s="32"/>
      <c r="R57" s="28" t="s">
        <v>39</v>
      </c>
      <c r="S57" s="28"/>
    </row>
    <row r="58" spans="1:19" x14ac:dyDescent="0.3">
      <c r="A58" s="79"/>
      <c r="B58" s="79"/>
      <c r="C58" s="80"/>
      <c r="D58" s="81"/>
      <c r="E58" s="81"/>
      <c r="F58" s="81"/>
      <c r="G58" s="81"/>
      <c r="H58" s="81"/>
      <c r="I58" s="82"/>
      <c r="J58" s="82"/>
      <c r="K58" s="82"/>
      <c r="L58" s="82"/>
      <c r="M58" s="82"/>
      <c r="N58" s="82"/>
      <c r="O58" s="82"/>
      <c r="P58" s="82"/>
      <c r="Q58" s="82"/>
      <c r="R58" s="83"/>
      <c r="S58" s="83"/>
    </row>
    <row r="59" spans="1:19" x14ac:dyDescent="0.3">
      <c r="A59" s="79"/>
      <c r="B59" s="79"/>
      <c r="C59" s="80"/>
      <c r="D59" s="81"/>
      <c r="E59" s="81"/>
      <c r="F59" s="81"/>
      <c r="G59" s="81"/>
      <c r="H59" s="81"/>
      <c r="I59" s="82"/>
      <c r="J59" s="82"/>
      <c r="K59" s="82"/>
      <c r="L59" s="82"/>
      <c r="M59" s="82"/>
      <c r="N59" s="82"/>
      <c r="O59" s="82"/>
      <c r="P59" s="82"/>
      <c r="Q59" s="82"/>
      <c r="R59" s="83"/>
      <c r="S59" s="83"/>
    </row>
    <row r="60" spans="1:19" x14ac:dyDescent="0.3">
      <c r="A60" s="100"/>
      <c r="B60" s="96"/>
      <c r="C60" s="97"/>
      <c r="D60" s="98"/>
      <c r="E60" s="98"/>
      <c r="F60" s="98"/>
      <c r="G60" s="98"/>
      <c r="H60" s="98"/>
      <c r="I60" s="99"/>
      <c r="J60" s="47"/>
      <c r="K60" s="76" t="s">
        <v>119</v>
      </c>
      <c r="L60" s="46"/>
      <c r="M60" s="99"/>
      <c r="N60" s="99"/>
      <c r="O60" s="99"/>
      <c r="P60" s="47"/>
      <c r="Q60" s="76" t="s">
        <v>120</v>
      </c>
      <c r="R60" s="44"/>
      <c r="S60" s="45"/>
    </row>
    <row r="61" spans="1:19" x14ac:dyDescent="0.3">
      <c r="A61" s="8"/>
      <c r="B61" s="8"/>
      <c r="C61" s="9" t="s">
        <v>9</v>
      </c>
      <c r="D61" s="10"/>
      <c r="E61" s="10"/>
      <c r="F61" s="10"/>
      <c r="G61" s="10"/>
      <c r="H61" s="10"/>
      <c r="I61" s="30"/>
      <c r="J61" s="102"/>
      <c r="K61" s="30">
        <f>'Расход. мат. ЭО К18 ГРЩ-18'!$K$61</f>
        <v>0</v>
      </c>
      <c r="L61" s="103"/>
      <c r="M61" s="30"/>
      <c r="N61" s="30"/>
      <c r="O61" s="30"/>
      <c r="P61" s="78"/>
      <c r="Q61" s="30">
        <f>'Расход. мат. ЭО К18 ГРЩ-18'!$Q$61</f>
        <v>0</v>
      </c>
      <c r="R61" s="74"/>
      <c r="S61" s="15"/>
    </row>
    <row r="62" spans="1:19" x14ac:dyDescent="0.3">
      <c r="A62" s="10"/>
      <c r="B62" s="10"/>
      <c r="C62" s="75" t="s">
        <v>10</v>
      </c>
      <c r="D62" s="72"/>
      <c r="E62" s="104"/>
      <c r="F62" s="15"/>
      <c r="G62" s="15"/>
      <c r="H62" s="15"/>
      <c r="I62" s="15"/>
      <c r="J62" s="102"/>
      <c r="K62" s="11">
        <f>SUM(K3:K57)+K61</f>
        <v>0</v>
      </c>
      <c r="L62" s="57"/>
      <c r="M62" s="11"/>
      <c r="N62" s="11"/>
      <c r="O62" s="11"/>
      <c r="P62" s="78"/>
      <c r="Q62" s="11">
        <f>Q61+SUM(Q3:Q57)</f>
        <v>0</v>
      </c>
      <c r="R62" s="74"/>
      <c r="S62" s="15"/>
    </row>
    <row r="63" spans="1:19" x14ac:dyDescent="0.3">
      <c r="A63" s="70"/>
      <c r="B63" s="81"/>
      <c r="C63" s="87"/>
      <c r="D63" s="84"/>
      <c r="E63" s="85"/>
      <c r="F63" s="77" t="s">
        <v>99</v>
      </c>
      <c r="G63" s="77" t="s">
        <v>145</v>
      </c>
      <c r="H63" s="77" t="s">
        <v>146</v>
      </c>
      <c r="I63" s="76" t="s">
        <v>147</v>
      </c>
      <c r="J63" s="92" t="s">
        <v>148</v>
      </c>
      <c r="K63" s="76" t="s">
        <v>149</v>
      </c>
      <c r="L63" s="93"/>
      <c r="M63" s="93"/>
      <c r="N63" s="93"/>
      <c r="O63" s="93"/>
      <c r="P63" s="90"/>
      <c r="Q63" s="90"/>
      <c r="R63" s="83"/>
      <c r="S63" s="45"/>
    </row>
    <row r="64" spans="1:19" x14ac:dyDescent="0.3">
      <c r="A64" s="10"/>
      <c r="B64" s="10"/>
      <c r="C64" s="75" t="s">
        <v>11</v>
      </c>
      <c r="D64" s="72"/>
      <c r="E64" s="73"/>
      <c r="F64" s="10">
        <v>1.25</v>
      </c>
      <c r="G64" s="10">
        <f>9*8</f>
        <v>72</v>
      </c>
      <c r="H64" s="8">
        <v>500</v>
      </c>
      <c r="I64" s="11">
        <f>H64*0.6</f>
        <v>300</v>
      </c>
      <c r="J64" s="58">
        <f>G64*(H64+I64)</f>
        <v>57600</v>
      </c>
      <c r="K64" s="11">
        <f>J64*F64</f>
        <v>72000</v>
      </c>
      <c r="L64" s="57"/>
      <c r="M64" s="11"/>
      <c r="N64" s="11"/>
      <c r="O64" s="11"/>
      <c r="P64" s="58"/>
      <c r="Q64" s="11"/>
      <c r="R64" s="74"/>
      <c r="S64" s="15"/>
    </row>
    <row r="65" spans="1:19" x14ac:dyDescent="0.3">
      <c r="A65" s="10"/>
      <c r="B65" s="10"/>
      <c r="C65" s="75" t="s">
        <v>12</v>
      </c>
      <c r="D65" s="72"/>
      <c r="E65" s="73"/>
      <c r="F65" s="10">
        <v>1.25</v>
      </c>
      <c r="G65" s="10">
        <f>18*8</f>
        <v>144</v>
      </c>
      <c r="H65" s="10">
        <v>1000</v>
      </c>
      <c r="I65" s="11">
        <f>H65*0.6</f>
        <v>600</v>
      </c>
      <c r="J65" s="58">
        <f>G65*(H65+I65)</f>
        <v>230400</v>
      </c>
      <c r="K65" s="11">
        <f>J65*F65</f>
        <v>288000</v>
      </c>
      <c r="L65" s="57"/>
      <c r="M65" s="11"/>
      <c r="N65" s="11"/>
      <c r="O65" s="11"/>
      <c r="P65" s="58"/>
      <c r="Q65" s="11"/>
      <c r="R65" s="74"/>
      <c r="S65" s="15"/>
    </row>
    <row r="66" spans="1:19" x14ac:dyDescent="0.3">
      <c r="A66" s="10"/>
      <c r="B66" s="10"/>
      <c r="C66" s="75" t="s">
        <v>13</v>
      </c>
      <c r="D66" s="72"/>
      <c r="E66" s="73"/>
      <c r="F66" s="10">
        <v>0.35</v>
      </c>
      <c r="G66" s="10"/>
      <c r="H66" s="10"/>
      <c r="I66" s="11"/>
      <c r="J66" s="102"/>
      <c r="K66" s="11">
        <f>(K65+K64+K62)*F66</f>
        <v>125999.99999999999</v>
      </c>
      <c r="L66" s="57"/>
      <c r="M66" s="11"/>
      <c r="N66" s="11"/>
      <c r="O66" s="11"/>
      <c r="P66" s="78"/>
      <c r="Q66" s="11">
        <f>(Q62+K64+K65)*F66</f>
        <v>125999.99999999999</v>
      </c>
      <c r="R66" s="74"/>
      <c r="S66" s="15"/>
    </row>
    <row r="67" spans="1:19" x14ac:dyDescent="0.3">
      <c r="A67" s="101"/>
      <c r="B67" s="88"/>
      <c r="C67" s="89"/>
      <c r="D67" s="86"/>
      <c r="E67" s="86"/>
      <c r="F67" s="88"/>
      <c r="G67" s="88"/>
      <c r="H67" s="88"/>
      <c r="I67" s="90"/>
      <c r="J67" s="91"/>
      <c r="K67" s="76" t="s">
        <v>150</v>
      </c>
      <c r="L67" s="90"/>
      <c r="M67" s="90"/>
      <c r="N67" s="90"/>
      <c r="O67" s="90"/>
      <c r="P67" s="94"/>
      <c r="Q67" s="76" t="s">
        <v>151</v>
      </c>
      <c r="R67" s="95"/>
      <c r="S67" s="74"/>
    </row>
    <row r="68" spans="1:19" x14ac:dyDescent="0.3">
      <c r="A68" s="10"/>
      <c r="B68" s="10"/>
      <c r="C68" s="75" t="s">
        <v>14</v>
      </c>
      <c r="D68" s="72"/>
      <c r="E68" s="72"/>
      <c r="F68" s="10"/>
      <c r="G68" s="10"/>
      <c r="H68" s="10"/>
      <c r="I68" s="11"/>
      <c r="J68" s="102"/>
      <c r="K68" s="39">
        <f>CEILING((SUM(K62:K66)),1)</f>
        <v>486000</v>
      </c>
      <c r="L68" s="105"/>
      <c r="M68" s="12"/>
      <c r="N68" s="12"/>
      <c r="O68" s="15"/>
      <c r="P68" s="78"/>
      <c r="Q68" s="39">
        <f>Q66+Q62+K64+K65</f>
        <v>486000</v>
      </c>
      <c r="R68" s="74"/>
      <c r="S68" s="15"/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Общее</vt:lpstr>
      <vt:lpstr>Расход. мат. ЭО К18 ГРЩ-18</vt:lpstr>
      <vt:lpstr>ЭО К18 ГРЩ-18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Егор Гороховицкий</cp:lastModifiedBy>
  <dcterms:created xsi:type="dcterms:W3CDTF">2026-01-14T06:07:24Z</dcterms:created>
  <dcterms:modified xsi:type="dcterms:W3CDTF">2026-02-14T15:08:17Z</dcterms:modified>
</cp:coreProperties>
</file>